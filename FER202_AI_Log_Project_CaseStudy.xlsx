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131"/>
  <workbookPr filterPrivacy="1"/>
  <xr:revisionPtr revIDLastSave="0" documentId="13_ncr:1_{31A5F6B5-3D36-45F9-B171-2EA72494EE05}" xr6:coauthVersionLast="47" xr6:coauthVersionMax="47" xr10:uidLastSave="{00000000-0000-0000-0000-000000000000}"/>
  <bookViews>
    <workbookView xWindow="1884" yWindow="1884" windowWidth="17280" windowHeight="8880" firstSheet="8" activeTab="10" xr2:uid="{00000000-000D-0000-FFFF-FFFF00000000}"/>
  </bookViews>
  <sheets>
    <sheet name="Hướng dẫn" sheetId="1" r:id="rId1"/>
    <sheet name="Thông tin nhóm" sheetId="2" r:id="rId2"/>
    <sheet name="Week_01" sheetId="3" r:id="rId3"/>
    <sheet name="Week_02" sheetId="4" r:id="rId4"/>
    <sheet name="Week_03" sheetId="5" r:id="rId5"/>
    <sheet name="Week_04" sheetId="6" r:id="rId6"/>
    <sheet name="Week_05" sheetId="7" r:id="rId7"/>
    <sheet name="Week_06" sheetId="8" r:id="rId8"/>
    <sheet name="Week_07" sheetId="9" r:id="rId9"/>
    <sheet name="Week_08" sheetId="10" r:id="rId10"/>
    <sheet name="Week_09" sheetId="11" r:id="rId11"/>
    <sheet name="Week_10" sheetId="12" r:id="rId12"/>
    <sheet name="Summary"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5" i="13" l="1"/>
  <c r="J15" i="13"/>
  <c r="I15" i="13"/>
  <c r="G15" i="13"/>
  <c r="F15" i="13"/>
  <c r="E15" i="13"/>
  <c r="D15" i="13"/>
  <c r="C15" i="13"/>
  <c r="H15" i="13" s="1"/>
  <c r="K14" i="13"/>
  <c r="J14" i="13"/>
  <c r="I14" i="13"/>
  <c r="G14" i="13"/>
  <c r="F14" i="13"/>
  <c r="E14" i="13"/>
  <c r="D14" i="13"/>
  <c r="C14" i="13"/>
  <c r="H14" i="13" s="1"/>
  <c r="K13" i="13"/>
  <c r="J13" i="13"/>
  <c r="I13" i="13"/>
  <c r="G13" i="13"/>
  <c r="F13" i="13"/>
  <c r="E13" i="13"/>
  <c r="D13" i="13"/>
  <c r="C13" i="13"/>
  <c r="H13" i="13" s="1"/>
  <c r="K12" i="13"/>
  <c r="J12" i="13"/>
  <c r="I12" i="13"/>
  <c r="G12" i="13"/>
  <c r="H12" i="13" s="1"/>
  <c r="F12" i="13"/>
  <c r="E12" i="13"/>
  <c r="D12" i="13"/>
  <c r="C12" i="13"/>
  <c r="K11" i="13"/>
  <c r="J11" i="13"/>
  <c r="I11" i="13"/>
  <c r="G11" i="13"/>
  <c r="F11" i="13"/>
  <c r="E11" i="13"/>
  <c r="D11" i="13"/>
  <c r="C11" i="13"/>
  <c r="H11" i="13" s="1"/>
  <c r="K10" i="13"/>
  <c r="J10" i="13"/>
  <c r="I10" i="13"/>
  <c r="G10" i="13"/>
  <c r="F10" i="13"/>
  <c r="E10" i="13"/>
  <c r="H10" i="13" s="1"/>
  <c r="D10" i="13"/>
  <c r="C10" i="13"/>
  <c r="K9" i="13"/>
  <c r="J9" i="13"/>
  <c r="I9" i="13"/>
  <c r="G9" i="13"/>
  <c r="F9" i="13"/>
  <c r="E9" i="13"/>
  <c r="D9" i="13"/>
  <c r="C9" i="13"/>
  <c r="H9" i="13" s="1"/>
  <c r="K8" i="13"/>
  <c r="J8" i="13"/>
  <c r="I8" i="13"/>
  <c r="G8" i="13"/>
  <c r="F8" i="13"/>
  <c r="E8" i="13"/>
  <c r="D8" i="13"/>
  <c r="C8" i="13"/>
  <c r="H8" i="13" s="1"/>
  <c r="K7" i="13"/>
  <c r="J7" i="13"/>
  <c r="I7" i="13"/>
  <c r="G7" i="13"/>
  <c r="F7" i="13"/>
  <c r="E7" i="13"/>
  <c r="D7" i="13"/>
  <c r="C7" i="13"/>
  <c r="H7" i="13" s="1"/>
  <c r="K6" i="13"/>
  <c r="K16" i="13" s="1"/>
  <c r="J6" i="13"/>
  <c r="J16" i="13" s="1"/>
  <c r="I6" i="13"/>
  <c r="I16" i="13" s="1"/>
  <c r="G6" i="13"/>
  <c r="G16" i="13" s="1"/>
  <c r="F6" i="13"/>
  <c r="F16" i="13" s="1"/>
  <c r="E6" i="13"/>
  <c r="E16" i="13" s="1"/>
  <c r="D6" i="13"/>
  <c r="D16" i="13" s="1"/>
  <c r="C6" i="13"/>
  <c r="C16" i="13" s="1"/>
  <c r="H6" i="13" l="1"/>
  <c r="H16" i="13" s="1"/>
</calcChain>
</file>

<file path=xl/sharedStrings.xml><?xml version="1.0" encoding="utf-8"?>
<sst xmlns="http://schemas.openxmlformats.org/spreadsheetml/2006/main" count="1785" uniqueCount="668">
  <si>
    <t>FER202 — AI Log Template  |  Project Nhóm</t>
  </si>
  <si>
    <t>Hướng dẫn sử dụng  |  FPT University</t>
  </si>
  <si>
    <t>📌  MỤC ĐÍCH</t>
  </si>
  <si>
    <t>File này dùng để gì?</t>
  </si>
  <si>
    <t>Ghi lại nhật ký sử dụng AI của nhóm trong suốt project môn FER202 — theo từng tuần.</t>
  </si>
  <si>
    <t>Ai điền?</t>
  </si>
  <si>
    <t>Mỗi thành viên tự điền phần của mình vào các bảng của tuần tương ứng. Trưởng nhóm tổng hợp và upload.</t>
  </si>
  <si>
    <t>Nộp khi nào?</t>
  </si>
  <si>
    <t>Cuối mỗi tuần (hoặc theo deadline giảng viên). Một file duy nhất cho cả học kỳ.</t>
  </si>
  <si>
    <t>📁  CÁC SHEET TRONG FILE</t>
  </si>
  <si>
    <t>Thông tin nhóm</t>
  </si>
  <si>
    <t>Điền 1 lần đầu học kỳ: tên nhóm, MSSV, phân công, mô tả project.</t>
  </si>
  <si>
    <t>Week_01 → Week_10</t>
  </si>
  <si>
    <t>Mỗi tuần có 4 bảng: AI_Audit_Log, Changelog, Prompts, Reflection.</t>
  </si>
  <si>
    <t>Summary</t>
  </si>
  <si>
    <t>Tổng hợp tự động (công thức) số lần dùng AI, mức hỗ trợ theo từng tuần/thành viên.</t>
  </si>
  <si>
    <t>📝  4 BẢNG TRONG MỖI TUẦN</t>
  </si>
  <si>
    <t>BẢNG 1 — AI_AUDIT_LOG</t>
  </si>
  <si>
    <t>Ghi mỗi lần dùng AI: ngày, ai dùng, tool, mục đích, mức hỗ trợ, đã chỉnh sửa gì, kiểm chứng.</t>
  </si>
  <si>
    <t>BẢNG 2 — CHANGELOG</t>
  </si>
  <si>
    <t>Ghi thay đổi project trong tuần (Added / Changed / Fixed / Removed). Không bắt buộc gắn với AI.</t>
  </si>
  <si>
    <t>BẢNG 3 — PROMPTS</t>
  </si>
  <si>
    <t>Ghi chi tiết từng prompt quan trọng đã dùng: nội dung, kết quả AI trả về, cách nhóm sử dụng/chỉnh sửa.</t>
  </si>
  <si>
    <t>BẢNG 4 — REFLECTION</t>
  </si>
  <si>
    <t>Mỗi thành viên viết 1 block suy ngẫm cá nhân cuối tuần (đã làm gì, AI hỗ trợ ra sao, điểm chưa tốt).</t>
  </si>
  <si>
    <t>✅  QUY ƯỚC</t>
  </si>
  <si>
    <t>Cột TV</t>
  </si>
  <si>
    <t>Dùng ký hiệu A / B / C / D / E (khớp với bảng Thông tin nhóm).</t>
  </si>
  <si>
    <t>Mức hỗ trợ AI</t>
  </si>
  <si>
    <t>Low = AI gợi ý nhỏ  |  Medium = AI đóng góp đáng kể  |  High = AI tạo phần lớn nội dung</t>
  </si>
  <si>
    <t>Loại Changelog</t>
  </si>
  <si>
    <t>Added = thêm mới  |  Changed = cải tiến  |  Fixed = sửa lỗi  |  Removed = xóa bỏ</t>
  </si>
  <si>
    <t>(*) bắt buộc</t>
  </si>
  <si>
    <t>Các cột đánh dấu (*) là bắt buộc phải điền.</t>
  </si>
  <si>
    <t>THÔNG TIN NHÓM — FER202</t>
  </si>
  <si>
    <t>📋  Thông tin lớp</t>
  </si>
  <si>
    <t>Mã lớp học</t>
  </si>
  <si>
    <t>FER202_SE20A07</t>
  </si>
  <si>
    <t>Giảng viên</t>
  </si>
  <si>
    <t>Lê Thị Bích Trà — traltb@fe.edu.vn</t>
  </si>
  <si>
    <t>Học kỳ / Năm học</t>
  </si>
  <si>
    <t>SU26</t>
  </si>
  <si>
    <t>Tên nhóm</t>
  </si>
  <si>
    <t>FJMS - Freelancer Job Matching System</t>
  </si>
  <si>
    <t>Số thành viên</t>
  </si>
  <si>
    <t>👥  Danh sách thành viên</t>
  </si>
  <si>
    <t>Ký hiệu (*)</t>
  </si>
  <si>
    <t>Họ và tên (*)</t>
  </si>
  <si>
    <t>MSSV (*)</t>
  </si>
  <si>
    <t>Email (*)</t>
  </si>
  <si>
    <t>Vai trò</t>
  </si>
  <si>
    <t>Ghi chú</t>
  </si>
  <si>
    <t>A</t>
  </si>
  <si>
    <t>Phan Hữu Linh</t>
  </si>
  <si>
    <t>DE191102</t>
  </si>
  <si>
    <t>benphilip11234@gmail.com</t>
  </si>
  <si>
    <t>Trưởng nhóm</t>
  </si>
  <si>
    <t>B</t>
  </si>
  <si>
    <t>Nguyễn Đăng Khang Huy</t>
  </si>
  <si>
    <t>DE190258</t>
  </si>
  <si>
    <t>vietnamnhungchuyendi@gmail.com</t>
  </si>
  <si>
    <t>Thành viên</t>
  </si>
  <si>
    <t>C</t>
  </si>
  <si>
    <t>Kiều Thị Kim Thoa</t>
  </si>
  <si>
    <t>DE190363</t>
  </si>
  <si>
    <t>Thoakieu309@gmail.com</t>
  </si>
  <si>
    <t>D</t>
  </si>
  <si>
    <t>E</t>
  </si>
  <si>
    <t>💡  Mô tả dự án</t>
  </si>
  <si>
    <t>Tên hệ thống</t>
  </si>
  <si>
    <t>Freelancer Job Matching System (FJMS)</t>
  </si>
  <si>
    <t>Mô tả ngắn</t>
  </si>
  <si>
    <t>FJMS là nền tảng kết nối giữa Freelancer và Employer, cho phép đăng dự án, tìm kiếm ứng viên phù hợp, gửi đề xuất (Proposal), quản lý hợp đồng, thanh toán ký quỹ (Escrow), nhắn tin thời gian thực và đánh giá sau khi hoàn thành dự án. Hệ thống tích hợp AI Chatbot hỗ trợ người dùng và sử dụng VNPay để xử lý thanh toán trực tuyến an toàn.</t>
  </si>
  <si>
    <t>Công nghệ sử dụng</t>
  </si>
  <si>
    <t>Frontend: ReactJS, TailwindCSS, Axios, React Router DOM
Backend: NodeJS, ExpressJS, JWT Authentication, Socket.io
Database: Microsoft SQL Server
External Services: VNPay API, Email Service (OTP Verification)</t>
  </si>
  <si>
    <t>Link repo (GitHub/GitLab)</t>
  </si>
  <si>
    <t>https://github.com/SUMMER2026SE/swp391-rbl-project-team_7-1.git</t>
  </si>
  <si>
    <t>Link Jira</t>
  </si>
  <si>
    <t>Link demo</t>
  </si>
  <si>
    <t>WEEK 01 — Nhật ký AI &amp; Project</t>
  </si>
  <si>
    <t>Mỗi thành viên dùng ký hiệu A/B/C/D/E ở cột TV.  Cột (*) bắt buộc điền.  Lưu file sau khi điền xong.</t>
  </si>
  <si>
    <t>📋  BẢNG 1: Nhật ký sử dụng AI  (AI_AUDIT_LOG)</t>
  </si>
  <si>
    <t>Ghi mỗi lần dùng AI vào 1 dòng.  Mức hỗ trợ: Low = AI gợi ý nhỏ  |  Medium = AI đóng góp nhiều  |  High = AI tạo phần lớn</t>
  </si>
  <si>
    <t>Ngày (*)</t>
  </si>
  <si>
    <t>TV (*)</t>
  </si>
  <si>
    <t>Công cụ AI (*)</t>
  </si>
  <si>
    <t>Mục đích sử dụng (*)</t>
  </si>
  <si>
    <t>File ảnh hưởng</t>
  </si>
  <si>
    <t>Mức hỗ trợ (*)</t>
  </si>
  <si>
    <t>Đã chỉnh sửa gì?</t>
  </si>
  <si>
    <t>Kiểm chứng</t>
  </si>
  <si>
    <t>2026-06-23</t>
  </si>
  <si>
    <t>Gemini</t>
  </si>
  <si>
    <t>Khởi tạo Vite project, cấu hình thư mục dự án và cài đặt bootstrap, router, axios</t>
  </si>
  <si>
    <t>package.json, src/</t>
  </si>
  <si>
    <t>High</t>
  </si>
  <si>
    <t>Kiểm tra script npm run dev và cấu hình Vite</t>
  </si>
  <si>
    <t>Dev server chạy thành công</t>
  </si>
  <si>
    <t>Vẽ sơ đồ Component Tree cho dự án FJMS</t>
  </si>
  <si>
    <t>Week01/docs/component-tree.png</t>
  </si>
  <si>
    <t>Medium</t>
  </si>
  <si>
    <t>Thêm nhánh SavedProjectsModal vào sơ đồ</t>
  </si>
  <si>
    <t>Sơ đồ phân cấp chuẩn hóa</t>
  </si>
  <si>
    <t>Viết README.md tài liệu hướng dẫn setup dự án</t>
  </si>
  <si>
    <t>README.md</t>
  </si>
  <si>
    <t>Low</t>
  </si>
  <si>
    <t>Bổ sung hướng dẫn cài đặt thư viện</t>
  </si>
  <si>
    <t>File README rõ ràng</t>
  </si>
  <si>
    <t>Stitch</t>
  </si>
  <si>
    <t>Lên ý tưởng và vẽ phác thảo giao diện Trang chủ (Hero section)</t>
  </si>
  <si>
    <t>docs/mockup/Home_Page.png</t>
  </si>
  <si>
    <t>Chỉnh sửa tông màu chủ đạo Emerald Green #059669</t>
  </si>
  <si>
    <t>Mockup đạt tiêu chí SWP</t>
  </si>
  <si>
    <t>Figma</t>
  </si>
  <si>
    <t>Thống nhất và đặc tả Style Guide chung của nhóm (màu #059669, font Inter)</t>
  </si>
  <si>
    <t>docs/mockup/style-guide.md</t>
  </si>
  <si>
    <t>Bổ sung quy chuẩn typography và button styles</t>
  </si>
  <si>
    <t>Đã review với nhóm</t>
  </si>
  <si>
    <t>Soạn thảo prompt mô tả chi tiết giao diện màn Chi tiết dự án và Dự án đã lưu</t>
  </si>
  <si>
    <t>docs/mockup/prompts.md</t>
  </si>
  <si>
    <t>Thêm các trường thông tin ngân sách VND và skills</t>
  </si>
  <si>
    <t>Prompt log đầy đủ</t>
  </si>
  <si>
    <t>Tạo hình ảnh mockup thiết kế trực quan có độ phân giải cao cho 2 màn hình Chi tiết dự án và Dự án đã lưu.</t>
  </si>
  <si>
    <t>Week01/docs/mockup/</t>
  </si>
  <si>
    <t>Tạo 2 ảnh PNG mô tả giao diện chi tiết dự án (bố cục 2 cột) và giao diện quản lý danh sách dự án đã lưu của freelancer.</t>
  </si>
  <si>
    <t>File project_details.png, saved_projects.png</t>
  </si>
  <si>
    <t>Xây dựng tài liệu bàn giao mockup sang code (Handoff Document) ánh xạ phân vùng sang React component.</t>
  </si>
  <si>
    <t>Week01/docs/mockup/handoff.md</t>
  </si>
  <si>
    <t>Xác định các component tương ứng sẽ lập trình (ProjectDetailPage, SkillBadge, SavedProjectsTable) và phân chia tuần thực hiện.</t>
  </si>
  <si>
    <t>File handoff.md</t>
  </si>
  <si>
    <t>📝  BẢNG 2: Nhật ký thay đổi project  (CHANGELOG)</t>
  </si>
  <si>
    <t>Loại (*)</t>
  </si>
  <si>
    <t>Mô tả thay đổi (*)</t>
  </si>
  <si>
    <t>File liên quan</t>
  </si>
  <si>
    <t>Added — Thêm mới</t>
  </si>
  <si>
    <t>Khởi tạo repo git và setup ban đầu dự án ReactJS + Vite</t>
  </si>
  <si>
    <t>Khởi tạo git repository, setup React 19 + Vite, package.json, TailwindCSS, Bootstrap, Axios</t>
  </si>
  <si>
    <t>Khởi tạo thành công</t>
  </si>
  <si>
    <t>Tích hợp file db.json chứa 8 dự án tuyển dụng và 5 danh mục ngành nghề của FJMS</t>
  </si>
  <si>
    <t>db.json</t>
  </si>
  <si>
    <t>Phục vụ cho việc chạy thử json-server</t>
  </si>
  <si>
    <t>Thêm tài liệu hướng dẫn thiết kế (Style Guide) định nghĩa màu sắc, font chữ và quy chuẩn chung cho dự án FJMS.</t>
  </si>
  <si>
    <t>Week01/docs/mockup/style-guide.md</t>
  </si>
  <si>
    <t>Thống nhất sử dụng tông màu Emerald Green (#059669) và font Inter.</t>
  </si>
  <si>
    <t>Changed — Cải tiến</t>
  </si>
  <si>
    <t>Đồng bộ hóa các đường dẫn và cập nhật file TODO.md theo cấu trúc 3 thành viên</t>
  </si>
  <si>
    <t>Cấu hình thư mục chuẩn src/components, src/pages, src/assets, src/services</t>
  </si>
  <si>
    <t>TODO.md</t>
  </si>
  <si>
    <t>Đồng bộ hoàn tất các tuần</t>
  </si>
  <si>
    <t>Thiết kế bản vẽ Mockup cho giao diện Trang chủ và Trang danh sách dự án; Lập bảng màu Style Guide.</t>
  </si>
  <si>
    <t>docs/mockup/Home_Page.png, docs/mockup/Project_List.png, docs/mockup/style-guide.md</t>
  </si>
  <si>
    <t>Đã chốt mã màu chủ đạo là Emerald Green (#059669).</t>
  </si>
  <si>
    <t>Cập nhật checklist tiến độ và bảng theo dõi tiến độ tuần 1.</t>
  </si>
  <si>
    <t>Đánh dấu hoàn thành các nhiệm vụ thiết kế giao diện của Thành viên C.</t>
  </si>
  <si>
    <t>Fixed — Sửa lỗi</t>
  </si>
  <si>
    <t>Sửa lỗi đường dẫn module import và script npm run dev trong package.json</t>
  </si>
  <si>
    <t>Removed — Xóa bỏ</t>
  </si>
  <si>
    <t>💡  BẢNG 3: Nhật ký Prompt AI  (PROMPTS)</t>
  </si>
  <si>
    <t>Mỗi prompt quan trọng ghi 1 block gồm 4 dòng. Ghi rõ prompt đã dùng, kết quả, cách nhóm sử dụng, và kiểm chứng.</t>
  </si>
  <si>
    <t>Prompt #</t>
  </si>
  <si>
    <t>TV</t>
  </si>
  <si>
    <t>Công cụ AI</t>
  </si>
  <si>
    <t>Prompt đã dùng (nguyên văn) (*)</t>
  </si>
  <si>
    <t>Prompt #1  (A — Gemini)</t>
  </si>
  <si>
    <t>Tạo cấu trúc project Vite React với TailwindCSS, React-Bootstrap, Axios và React Router DOM cho hệ thống Freelancer Job Matching System (FJMS).</t>
  </si>
  <si>
    <t>Kết quả AI trả về và vấn đề gặp phải:</t>
  </si>
  <si>
    <t>AI tạo mã nguồn package.json và vite.config.js cơ bản nhưng thiếu script dev.</t>
  </si>
  <si>
    <t>Nhóm đã chỉnh sửa / sử dụng như thế nào:</t>
  </si>
  <si>
    <t>Bổ sung script dev và cấu hình alias path `@/`.</t>
  </si>
  <si>
    <t>Kiểm chứng (test pass/fail, kết quả đúng không):</t>
  </si>
  <si>
    <t>Chạy `npm run dev` dev server khởi chạy thành công.</t>
  </si>
  <si>
    <t>Prompt #2 (B--ChatGPT)</t>
  </si>
  <si>
    <t>Generate a UI mockup for a project card showing job details. Include project title, category, budget, duration, and a 'Submit Proposal' button. Style should use rounded corners (12px), drop shadows, and lots of whitespace.</t>
  </si>
  <si>
    <t>AI tạo thẻ Card tốt nhưng lại chèn quá nhiều đoạn text Lorem Ipsum dài thòng làm thẻ bị vỡ tỷ lệ, thiếu các icon minh họa cho ngân sách.</t>
  </si>
  <si>
    <t>Xóa bớt chữ thừa, thêm thủ công các icon (tiền tệ, đồng hồ) vào bên cạnh các thông số để giao diện trực quan và chuyên nghiệp hơn.</t>
  </si>
  <si>
    <t>Các thẻ dự án được sắp xếp rất gọn gàng trong file Project_List.png.</t>
  </si>
  <si>
    <t>Prompt #3(C-Gemini)</t>
  </si>
  <si>
    <t>Design a high-fidelity web page for "Project Details" of a Freelancer Job Matching System (FJMS). Layout should be split into 2 columns on desktop: Left column (2/3 width) contains: Project Title ("SaaS Dashboard UI/UX Design"), Breadcrumb navigation, Posted date, Category badge ("UI/UX Design"), Detailed Job Description, and Required Skills tags ("Figma", "UI/UX"). Right column (1/3 width) contains sticky info card: Budget "8,000,000 VND" in large bold emerald green, Project Duration, Client Info, primary button "Submit Proposal" in emerald green (#059669), and outline button "Save Project". Modern clean style, Inter font, white boxes on light gray background.</t>
  </si>
  <si>
    <t>AI tạo ra hình ảnh thiết kế bố cục 2 cột rất rõ ràng và đẹp mắt, các khối thông tin phân cấp hợp lý. Vấn đề: Một số text hiển thị tiếng Anh bị lỗi font hoặc tạo ra văn bản vô nghĩa (lorem ipsum).</t>
  </si>
  <si>
    <t>Nhóm giữ nguyên cấu trúc bố cục thiết kế này, tiến hành xuất ảnh PNG lưu tại docs/mockup/project_details.png và dùng làm bản vẽ chuẩn để phân tách component cho Tuần 6.</t>
  </si>
  <si>
    <t>File project_details.png hiển thị đúng nghiệp vụ, đạt tiêu chuẩn trực quan của style guide nhóm.</t>
  </si>
  <si>
    <t>Prompt #4</t>
  </si>
  <si>
    <t>🪞  BẢNG 4: Suy ngẫm cuối tuần  (REFLECTION)</t>
  </si>
  <si>
    <t>Mỗi thành viên điền 1 block riêng. Mục 'AI sai/thiếu' bắt buộc ≥ 2 ví dụ cụ thể. Viết thành câu đầy đủ.</t>
  </si>
  <si>
    <t>Thành viên A — Phan Hữu Linh (Trưởng nhóm)</t>
  </si>
  <si>
    <t>Đã làm gì trong tuần này? (*)</t>
  </si>
  <si>
    <t>Khởi tạo project Vite React, vẽ Component Tree, cấu hình Tailwind/Bootstrap, phân công công việc.</t>
  </si>
  <si>
    <t>AI đã hỗ trợ như thế nào?</t>
  </si>
  <si>
    <t>Gợi ý cấu trúc thư mục chuẩn cho dự án React quy mô vừa.</t>
  </si>
  <si>
    <t>AI sai hoặc thiếu ở đâu? (*)</t>
  </si>
  <si>
    <t>(1) AI gợi ý phiên bản Tailwind v3 cũ không tương thích Vite mới; (2) AI thiếu script dev server trong package.json.</t>
  </si>
  <si>
    <t>Khó khăn gặp phải</t>
  </si>
  <si>
    <t>Xung đột phiên bản giữa React 19 và một số thư viện UI cũ.</t>
  </si>
  <si>
    <t>Nếu làm lại, sẽ cải thiện điều gì?</t>
  </si>
  <si>
    <t>Đọc kỹ tài liệu chính thức của React 19 trước khi prompt.</t>
  </si>
  <si>
    <t>Thành viên B — Thành viên</t>
  </si>
  <si>
    <t>Lên ý tưởng (Ideation) và phác thảo thành công Mockup giao diện cho Trang chủ, đồng thời xây dựng quy chuẩn Style Guide cho nhóm.</t>
  </si>
  <si>
    <t>AI đóng vai trò như một người vẽ nháp, giúp sinh ra hàng loạt ý tưởng layout trong vài giây thay vì phải cặm cụi kéo thả từng ô vuông trong Figma.</t>
  </si>
  <si>
    <t>(1) AI thường xuyên sử dụng text vô nghĩa (Lorem Ipsum) thay vì dữ liệu thật. (2) AI không duy trì được sự nhất quán (consistency) giữa các lần sinh ảnh (màu xanh lúc đậm lúc nhạt).</t>
  </si>
  <si>
    <t>Kỹ năng viết prompt (Prompt Engineering) để mô tả UI chi tiết bằng tiếng Anh khá mất thời gian; nếu mô tả sơ sài AI sẽ vẽ rất chung chung.</t>
  </si>
  <si>
    <t>Nên thiết lập sẵn bộ nguyên tắc (Design System guidelines) đưa cho AI học ngay từ câu lệnh đầu tiên để đảm bảo AI sinh màu sắc đúng chuẩn 100%.</t>
  </si>
  <si>
    <t>Thành viên C — Thành viên</t>
  </si>
  <si>
    <t>Thiết kế mockup 2 màn hình Chi tiết dự án và Dự án đã lưu bằng AI Design Tool. Soạn thảo tài liệu Style Guide chung, nhật ký Prompts và tài liệu bàn giao Handoff Document cho nhóm.</t>
  </si>
  <si>
    <t>Hỗ trợ lên ý tưởng bố cục giao diện cực kỳ nhanh chóng dựa trên mô tả văn bản. Tự động đề xuất các phối màu Emerald Green hài hòa và tạo bản vẽ mockup chất lượng cao không cần vẽ tay từ đầu.</t>
  </si>
  <si>
    <t>(1) AI tạo chữ (text) trên ảnh mockup bị lỗi font chữ tiếng Việt và tạo ra các ký tự vô nghĩa (gibberish text) thay vì văn bản thực tế. (2) Khi mô tả nút bấm dạng icon (như thùng rác màu đỏ), AI tự phối màu nền quá sặc sỡ và không đồng nhất kích thước với nút Apply bên cạnh.</t>
  </si>
  <si>
    <t>Việc viết prompt bằng tiếng Anh mô tả chi tiết vị trí các component nhỏ trong bảng khá tốn thời gian, đôi khi AI hiểu sai vị trí cột trái/phải và phải generate lại nhiều lần.</t>
  </si>
  <si>
    <t>Sẽ sử dụng các công cụ vẽ wireframe thô (lo-fi) trước để định hình cấu trúc, sau đó mới dùng AI để tạo giao diện chi tiết (hi-fi) để tránh việc AI sắp xếp bố cục tùy tiện.</t>
  </si>
  <si>
    <t>Thành viên D — Thành viên</t>
  </si>
  <si>
    <t>💬 Liệt kê cụ thể: tính năng, test case, module, file...</t>
  </si>
  <si>
    <t>💬 Tóm tắt cách dùng AI: tool nào, việc gì, hiệu quả ra sao</t>
  </si>
  <si>
    <t>💬 ⚠️ Bắt buộc ≥ 2 ví dụ cụ thể về điểm AI chưa đúng/đủ</t>
  </si>
  <si>
    <t>💬 Kỹ thuật, nhóm, công cụ, môi trường...</t>
  </si>
  <si>
    <t>💬 Quy trình, cách dùng AI, phân công nhóm...</t>
  </si>
  <si>
    <t>Thành viên E — Thành viên</t>
  </si>
  <si>
    <t>FER202  |  Week 01  |  FPT University — Điền xong nhớ Ctrl+S để lưu!</t>
  </si>
  <si>
    <t>2026-06-24</t>
  </si>
  <si>
    <t>Tạo giao diện Header.jsx tĩnh cho sàn FJMS</t>
  </si>
  <si>
    <t>src/components/Header.jsx</t>
  </si>
  <si>
    <t>Thêm logo thương hiệu và thanh điều hướng Nav</t>
  </si>
  <si>
    <t>Console không xuất hiện cảnh báo</t>
  </si>
  <si>
    <t>Tạo giao diện Footer.jsx có năm hiện tại động</t>
  </si>
  <si>
    <t>src/components/Footer.jsx</t>
  </si>
  <si>
    <t>Bổ sung danh sách liên kết nhanh và thông tin nhóm</t>
  </si>
  <si>
    <t>Hiển thị 2026 chính xác</t>
  </si>
  <si>
    <t>Dựng Banner.jsx giới thiệu trang chủ</t>
  </si>
  <si>
    <t>src/components/Banner.jsx</t>
  </si>
  <si>
    <t>Thêm slogan và 2 nút hành động CTA</t>
  </si>
  <si>
    <t>Banner trải dài full width</t>
  </si>
  <si>
    <t>Dựng Component tĩnh ProjectCard.jsx</t>
  </si>
  <si>
    <t>src/components/ProjectCard.jsx</t>
  </si>
  <si>
    <t>Thêm định dạng tiền tệ VND vi-VN</t>
  </si>
  <si>
    <t>Card hiển thị thông tin mẫu</t>
  </si>
  <si>
    <t>Lập trình CategoryList.jsx hiển thị danh mục ngành nghề</t>
  </si>
  <si>
    <t>src/components/CategoryList.jsx</t>
  </si>
  <si>
    <t>Xử lý điều kiện conditional rendering khi mảng rỗng</t>
  </si>
  <si>
    <t>Render 5 danh mục công việc</t>
  </si>
  <si>
    <t>Lập trình ProjectGrid.jsx chứa mảng dự án mẫu và map ra card</t>
  </si>
  <si>
    <t>src/components/ProjectGrid.jsx</t>
  </si>
  <si>
    <t>Map mảng PROJECTS_DATA ra lưới card</t>
  </si>
  <si>
    <t>Render 4 dự án mẫu</t>
  </si>
  <si>
    <t>Tạo mới components Header.jsx và Footer.jsx tĩnh cho dự án</t>
  </si>
  <si>
    <t>Lập trình Header.jsx (logo, nav links, badge) &amp; Footer.jsx</t>
  </si>
  <si>
    <t>src/components/Header.jsx, src/components/Footer.jsx</t>
  </si>
  <si>
    <t>Header có navbar và footer có năm tự động</t>
  </si>
  <si>
    <t>Thêm CSS cơ bản trong index.css để reset margin/padding và set màu chủ đạo Emerald green cho FJMS</t>
  </si>
  <si>
    <t>src/index.css</t>
  </si>
  <si>
    <t>Style màu thương hiệu</t>
  </si>
  <si>
    <t>Tạo mới component CategoryList.jsx hiển thị 5 lĩnh vực việc làm của freelancer.</t>
  </si>
  <si>
    <t>fjms-frontend/src/components/CategoryList.jsx</t>
  </si>
  <si>
    <t>Đã hoàn thành phần logic kiểm tra danh sách rỗng bằng toán tử 3 ngôi.</t>
  </si>
  <si>
    <t>Tạo mới component tĩnh Banner.jsx (Hero section) và ProjectCard.jsx (Thẻ dự án).</t>
  </si>
  <si>
    <t>Tối ưu hóa JSX rendering và CSS inline design tokens</t>
  </si>
  <si>
    <t>src/components/Banner.jsx, src/components/ProjectCard.jsx</t>
  </si>
  <si>
    <t>Đã áp dụng inline CSS theo đúng màu sắc của Style Guide.</t>
  </si>
  <si>
    <t xml:space="preserve">Chỉnh sửa App.jsx để thực hiện tích hợp 5 component tĩnh của nhóm.	</t>
  </si>
  <si>
    <t>fjms-frontend/src/App.jsx</t>
  </si>
  <si>
    <t>Đảm bảo trang web chạy ổn định trên cổng 5173 và không phát sinh lỗi console.</t>
  </si>
  <si>
    <t>Sửa lỗi warning class vs className trong JSX Header</t>
  </si>
  <si>
    <t>Viết functional component Header.jsx bằng ReactJS hiển thị logo FJMS Marketplace, menu điều hướng và badge đếm số dự án đã lưu.</t>
  </si>
  <si>
    <t>Code Header.jsx sử dụng thẻ HTML class tĩnh.</t>
  </si>
  <si>
    <t>Thay thế HTML tags thành React components và đổi class -&gt; className.</t>
  </si>
  <si>
    <t>DevTools console clean không có cảnh báo đỏ.</t>
  </si>
  <si>
    <t>Prompt #2 ( B- ChatGPT)</t>
  </si>
  <si>
    <t>Viết cho tôi component Banner.jsx bằng React. Component này đóng vai trò Hero Section, bao gồm thẻ h1 'Tìm Kiếm Freelancer Phù Hợp', đoạn mô tả và 2 nút bấm. Yêu cầu dùng inline CSS, không dùng thư viện ngoài.</t>
  </si>
  <si>
    <t>AI sinh ra code đúng chuẩn JSX nhưng các nút bấm có kích thước chưa cân đối và màu sắc bị sai mã Hex (xanh lá chóe) so với thiết kế Figma.</t>
  </si>
  <si>
    <t>Giữ nguyên khung HTML/JSX của AI, sau đó chỉnh sửa lại toàn bộ mã màu Hex trong thẻ style={{...}} cho khớp với Style Guide.</t>
  </si>
  <si>
    <t>Chạy npm run dev, component hiển thị tốt trên trình duyệt, màu sắc chuẩn.</t>
  </si>
  <si>
    <t>Write a React 19 functional component named 'CategoryList' that displays a grid of freelance job categories (like Web Development, Mobile Development, UI/UX Design). The component should accept a 'categories' array prop. If the array is empty or undefined, use conditional rendering (ternary operator) to display a fallback message 'No categories available'. Use basic inline CSS styles to lay out the categories in a flex row.</t>
  </si>
  <si>
    <t>AI cung cấp component đúng cú pháp và cấu trúc logic. Vấn đề: Cấu trúc CSS inline sử dụng flexbox của AI bị thiếu tính năng wrap khiến giao diện bị tràn lề khi thu nhỏ trình duyệt.</t>
  </si>
  <si>
    <t>Nhóm giữ nguyên logic, thực hiện bổ sung flexWrap: 'wrap' và gap: '1rem' vào inline CSS ở container chính để giao diện responsive tốt hơn.</t>
  </si>
  <si>
    <t>Test Pass. Giao diện hiển thị 5 cột đẹp mắt, khi giả lập truyền categories rỗng thì hiển thị đúng văn bản thông báo lỗi.</t>
  </si>
  <si>
    <t xml:space="preserve"> </t>
  </si>
  <si>
    <t>Code Header.jsx, Footer.jsx và ghép nối 6 components chính tại App.jsx.</t>
  </si>
  <si>
    <t>Tạo nhanh khung JSX ban đầu cho Header và Footer.</t>
  </si>
  <si>
    <t>(1) AI nhầm lẫn thuộc tính class thay vì className trong JSX; (2) AI gợi ý thẻ &lt;a&gt; thiếu thuộc tính href hợp lệ gây warning.</t>
  </si>
  <si>
    <t>Căn chỉnh CSS inline sao cho giao diện chuẩn responsive cơ bản.</t>
  </si>
  <si>
    <t>Tách nhỏ components thành các file chuyên biệt ngay từ đầu.</t>
  </si>
  <si>
    <t>Lập trình thành công 2 giao diện tĩnh là Banner.jsx và ProjectCard.jsx bằng cú pháp JSX và inline CSS.</t>
  </si>
  <si>
    <t>AI giúp tạo nhanh bộ khung thẻ HTML lồng nhau và các style cơ bản (flexbox, padding), tiết kiệm được 50% thời gian phải gõ chay.</t>
  </si>
  <si>
    <t>(1) AI thường xuyên sử dụng sai mã màu (không đúng theo nhận diện thương hiệu). (2) AI hay tự ý thêm các thẻ thẻ &lt;a&gt; hoặc placeholder ảnh gây lỗi hiển thị.</t>
  </si>
  <si>
    <t>Việc viết CSS dạng inline (trong file .jsx) rất dài dòng, khiến file code bị "phình" to, rất khó dò lỗi khi thiếu một dấu phẩy , hoặc ngoặc nhọn }.</t>
  </si>
  <si>
    <t>Sẽ chia nhỏ các style object ra ngoài component thay vì nhét thẳng vào thẻ HTML để code dễ đọc hơn.</t>
  </si>
  <si>
    <t>Xây dựng 2 component CategoryList và ProjectGrid. Tích hợp tất cả các component tĩnh của nhóm vào App.jsx và viết tài liệu lý thuyết giải thích cơ chế JSX.</t>
  </si>
  <si>
    <t>Hỗ trợ giải thích sâu sắc sự khác biệt trong cơ chế biên dịch JSX của React 19 so với các phiên bản cũ và cung cấp code khung HTML/CSS inline rất nhanh.</t>
  </si>
  <si>
    <t>(1) AI gợi ý import React từ 'react' ở đầu file mặc dù dự án dùng React 19 và không còn bắt buộc việc này nữa. (2) Trong component ProjectCard mẫu, AI viết thuộc tính 'class' thay vì 'className' làm trình duyệt báo lỗi warning đỏ trong Console.</t>
  </si>
  <si>
    <t>Khó khăn trong việc căn chỉnh các thuộc tính CSS nâng cao (như hover hoặc active hiệu ứng nút bấm) do viết bằng inline CSS không hỗ trợ pseudo-classes trực tiếp.</t>
  </si>
  <si>
    <t>Sẽ sử dụng thư viện icon chuẩn (như lucide-react) thay vì gán các ký tự emoji thô để tăng tính thẩm mỹ của trang web.</t>
  </si>
  <si>
    <t>FER202  |  Week 02  |  FPT University — Điền xong nhớ Ctrl+S để lưu!</t>
  </si>
  <si>
    <t>2026-06-25</t>
  </si>
  <si>
    <t>Refactor ProjectCard.jsx để nhận dữ liệu qua props {project, onSaveProject, isSaved}</t>
  </si>
  <si>
    <t>Xóa dữ liệu hardcode, thêm formatVND và badge skills</t>
  </si>
  <si>
    <t>Card nhận data động mượt mượt</t>
  </si>
  <si>
    <t>Xử lý sự kiện onSaveProject qua callback props của ProjectCard</t>
  </si>
  <si>
    <t>Thêm handler onClick truyền project object ngược lên cha</t>
  </si>
  <si>
    <t>App nhận callback chính xác</t>
  </si>
  <si>
    <t>Chuyển đổi component ProjectGrid tĩnh sang nhận mảng projects qua Props</t>
  </si>
  <si>
    <t>Thêm key={project.id} tránh warning key</t>
  </si>
  <si>
    <t>Map danh sách động không lỗi</t>
  </si>
  <si>
    <t>Cải tiến CategoryList để nhận mảng categories từ component cha</t>
  </si>
  <si>
    <t>Thêm activeCategory style highlight</t>
  </si>
  <si>
    <t>Lọc danh mục linh hoạt</t>
  </si>
  <si>
    <t>Lập trình SectionWrapper.jsx nhận title, subtitle và props.children</t>
  </si>
  <si>
    <t>src/components/SectionWrapper.jsx</t>
  </si>
  <si>
    <t>Bọc layout tái sử dụng tại 3+ khu vực trong App</t>
  </si>
  <si>
    <t>Layout đồng bộ toàn bộ app</t>
  </si>
  <si>
    <t>Vẽ sơ đồ luồng dữ liệu Data Flow Diagram phân tích cơ chế truyền props 1 chiều</t>
  </si>
  <si>
    <t>docs/week03-dataflow.md</t>
  </si>
  <si>
    <t>Vẽ sơ đồ luồng App -&gt; Grid -&gt; Card</t>
  </si>
  <si>
    <t>Review với giảng viên OK</t>
  </si>
  <si>
    <t>Refactor ProjectCard.jsx nhận props {project, onSaveProject, isSaved}</t>
  </si>
  <si>
    <t>fjms-frontend/src/components/SectionWrapper.jsx</t>
  </si>
  <si>
    <t>Giúp chuẩn hóa tiêu đề và khoảng cách của các section trên trang chủ.</t>
  </si>
  <si>
    <t>Tạo mới sơ đồ kỹ thuật kiến trúc luồng dữ liệu (Data Flow Diagram).</t>
  </si>
  <si>
    <t>Week03/docs/week03-dataflow.png</t>
  </si>
  <si>
    <t>Minh chứng cụ thể về việc hiểu one-way data flow trong React.</t>
  </si>
  <si>
    <t>Định dạng tiền tệ VND (vi-VN) và hiển thị skill badges động</t>
  </si>
  <si>
    <t>Nhận project object và callback onSaveProject</t>
  </si>
  <si>
    <t>Cấu trúc lại file App.jsx để đóng vai trò làm trung tâm dữ liệu (Single Source of Truth) và gán hàm callback sự kiện.</t>
  </si>
  <si>
    <t>Đã liên kết thành công nút click từ ProjectCard qua props ngược về App.jsx để alert thông báo.</t>
  </si>
  <si>
    <t>Refactor ProjectGrid.jsx và CategoryList.jsx để hiển thị dữ liệu động dựa trên props truyền từ App xuống thay vì gõ cứng.</t>
  </si>
  <si>
    <t>src/components/ProjectGrid.jsx, src/components/CategoryList.jsx</t>
  </si>
  <si>
    <t>Cập nhật luồng dữ liệu One-way data flow, giải quyết lỗi warning thiếu thuộc tính key.</t>
  </si>
  <si>
    <t>Sửa lỗi crash khi truyền object project bị null hoặc undefined</t>
  </si>
  <si>
    <t>Refactor component ProjectCard.jsx để nhận project object từ props, định dạng budget theo VND và gọi callback onSaveProject khi bấm button.</t>
  </si>
  <si>
    <t>AI viết hàm format budget bằng Intl.NumberFormat và thêm onClick handler.</t>
  </si>
  <si>
    <t>Thêm optional chaining `project?.budget` phòng ngừa null reference crash.</t>
  </si>
  <si>
    <t>Truyền thử các object dữ liệu khác nhau vào Card render chính xác.</t>
  </si>
  <si>
    <t>Prompt #2( B- ChatGPT)</t>
  </si>
  <si>
    <t>Refactor file ProjectGrid.jsx hiện tại của tôi. Thay vì dùng mảng PROJECTS_DATA hardcode bên trong, hãy cấu hình để nó nhận một tham số props là projects từ component cha truyền xuống. Cập nhật lại hàm map để sử dụng props này.</t>
  </si>
  <si>
    <t>AI sửa code rất nhanh, tuy nhiên quên không kiểm tra mảng rỗng khiến app bị lỗi (crash) nếu mảng projects chưa kịp truyền tới.</t>
  </si>
  <si>
    <t>Tự thêm thủ công toán tử điều kiện projects &amp;&amp; projects.length &gt; 0 trước khi thực hiện hàm .map().</t>
  </si>
  <si>
    <t>Dữ liệu truyền từ App xuống Grid hiển thị thành công, có thể kiểm tra qua React DevTools.</t>
  </si>
  <si>
    <t>Prompt #3(C_Gemini)</t>
  </si>
  <si>
    <t>Write a React 19 component named 'SectionWrapper' that accepts three props: 'title', 'subtitle', and 'children'. The component should render the 'title' and 'subtitle' inside a header block, and render the 'children' inside a content block. Use inline styles to give it a clean border-bottom, a max-width of 1200px, and center alignment on the screen. The padding should be 3rem 2rem.</t>
  </si>
  <si>
    <t>AI viết code đúng cấu trúc render children. Vấn đề: AI không kiểm tra điều kiện dữ liệu của tiêu đề, dẫn đến việc nếu component cha không truyền prop subtitle, nó vẫn render thẻ &lt;p&gt;&lt;/p&gt; rỗng làm xấu giao diện.</t>
  </si>
  <si>
    <t>Sửa code phần hiển thị tiêu đề thành {title &amp;&amp; &lt;h2&gt;...&lt;/h2&gt;} và {subtitle &amp;&amp; &lt;p&gt;...&lt;/p&gt;} để thẻ HTML chỉ hiển thị khi có dữ liệu.</t>
  </si>
  <si>
    <t>Test Pass. Tái sử dụng bọc được 3 phần khác nhau trên trang chủ hoạt động hoàn toàn chính xác.</t>
  </si>
  <si>
    <t>Refactor ProjectCard.jsx, kiểm tra luồng truyền props một chiều từ App -&gt; Grid -&gt; Card.</t>
  </si>
  <si>
    <t>Hướng dẫn sử dụng `Intl.NumberFormat` chuẩn hóa tiền tệ Việt Nam.</t>
  </si>
  <si>
    <t>(1) AI không sử dụng optional chaining (`project?.title`) gây crash app khi object undef; (2) AI truyền callback trực tiếp mà không bọc arrow function `() =&gt; onSaveProject(project)`.</t>
  </si>
  <si>
    <t>Vòng lặp re-render vô hạn khi truyền event handler sai cách.</t>
  </si>
  <si>
    <t>Luôn bọc callback function trong arrow function khi truyền tham số.</t>
  </si>
  <si>
    <t>Áp dụng kiến trúc luồng dữ liệu một chiều (One-way data flow) bằng cách truyền dữ liệu mảng qua biến props từ App xuống các component con để hiển thị tự động.</t>
  </si>
  <si>
    <t>AI hỗ trợ refactor code cũ thành cấu trúc mới dùng props cực kỳ nhanh, nhắc nhở việc phải luôn thêm thuộc tính key đặc biệt trong các hàm map() của React.</t>
  </si>
  <si>
    <t>(1) AI hay quên kiểm tra (validate) biến props có bị undefined hay không trước khi gọi hàm map, dễ làm sập app. (2) Đôi khi AI đổi tên biến props khác với tên mình đang đặt ở file cha.</t>
  </si>
  <si>
    <t>Hơi bối rối khi truyền và nhận props qua nhiều tầng component (Props drilling), đôi khi quên truyền props từ cha khiến dữ liệu ở component con báo lỗi undefined.</t>
  </si>
  <si>
    <t>Sẽ tìm hiểu kỹ thêm về cách gỡ lỗi (debug) luồng truyền props bằng React DevTools để kiểm soát tốt hơn.</t>
  </si>
  <si>
    <t>Lập trình component SectionWrapper sử dụng children prop, refactor App.jsx để quản lý dữ liệu tập trung và hàm callback lưu dự án, thiết kế sơ đồ Data Flow Diagram.</t>
  </si>
  <si>
    <t>Hỗ trợ thiết kế sơ đồ kiến trúc luồng dữ liệu trực quan rất rõ ràng và gợi ý giải pháp truyền hàm callback từ component cha xuống component cháu (ProjectCard) hiệu quả.</t>
  </si>
  <si>
    <t>(1) AI đề xuất truyền callback trực tiếp mà không bọc arrow function: onClick={onSaveProject(project)}, gây ra lỗi lặp vô hạn (Infinite loop) khi render component. (2) Trong component App.jsx, AI quên không khai báo tham số nhận dữ liệu đầu vào cho hàm handleSaveProject, dẫn đến việc khi gọi hàm thì dữ liệu in ra bị undefined.</t>
  </si>
  <si>
    <t>Khó khăn trong việc debug lỗi HMR (Hot Module Replacement) của Vite khi cố gắng export song song mảng dữ liệu tĩnh bên cạnh mặc định component chính.</t>
  </si>
  <si>
    <t>Sẽ sử dụng thư viện ràng buộc kiểu dữ liệu truyền nhận (Prop-types hoặc TypeScript) từ ban đầu để dễ dàng kiểm soát lỗi truyền sai kiểu dữ liệu.</t>
  </si>
  <si>
    <t>FER202  |  Week 03  |  FPT University — Điền xong nhớ Ctrl+S để lưu!</t>
  </si>
  <si>
    <t>2026-06-26</t>
  </si>
  <si>
    <t>Xây dựng SearchBar.jsx controlled component với state keyword</t>
  </si>
  <si>
    <t>src/components/SearchBar.jsx</t>
  </si>
  <si>
    <t>Bind value={keyword} và onChange={(e) =&gt; setKeyword(e.target.value)}</t>
  </si>
  <si>
    <t>Gõ phím state cập nhật real-time</t>
  </si>
  <si>
    <t>Thêm validation cảnh báo đỏ khi từ khóa &lt; 2 ký tự và nút clear (x)</t>
  </si>
  <si>
    <t>Thêm text cảnh báo màu đỏ và nút reset từ khóa</t>
  </si>
  <si>
    <t>Nhập 1 ký tự hiển thị cảnh báo</t>
  </si>
  <si>
    <t>Khai báo savedProjects state tại App.jsx và hàm handleSaveProject bất biến</t>
  </si>
  <si>
    <t>src/App.jsx</t>
  </si>
  <si>
    <t>Dùng Spread operator [...prev, item] &amp; filter, tránh push()</t>
  </si>
  <si>
    <t>State không bị mutate trực tiếp</t>
  </si>
  <si>
    <t>Cập nhật Header.jsx nhận savedCount hiển thị badge số lượng real-time</t>
  </si>
  <si>
    <t>Áp dụng kỹ thuật Lifting State Up lên App.jsx</t>
  </si>
  <si>
    <t>Badge nhảy số chính xác khi lưu</t>
  </si>
  <si>
    <t>Khai báo activeCategory state và tính toán derived state filteredProjects</t>
  </si>
  <si>
    <t>Kết hợp lọc danh mục &amp; từ khóa tìm kiếm</t>
  </si>
  <si>
    <t>Kết quả lọc chính xác 100%</t>
  </si>
  <si>
    <t>Tạo SavedProjectsModal.jsx drawer quản lý dự án đã lưu và tính tổng budget</t>
  </si>
  <si>
    <t>src/components/SavedProjectsModal.jsx</t>
  </si>
  <si>
    <t>Thêm nút xóa từng dự án và nút ứng tuyển ngay</t>
  </si>
  <si>
    <t>Drawer hiển thị mượt mượt</t>
  </si>
  <si>
    <t>Tạo SearchBar.jsx controlled component, validation warning &lt; 2 ký tự, nút clear (x)</t>
  </si>
  <si>
    <t>Nâng state (Lifting State Up) từ SearchBar và Header lên App.jsx</t>
  </si>
  <si>
    <t>Sửa lỗi mutate state trực tiếp savedProjects.push(item)</t>
  </si>
  <si>
    <t>Viết component SearchBar.jsx là controlled component với input value={keyword}, hiển thị cảnh báo lỗi đỏ khi từ khóa &lt; 2 ký tự và nút xóa x.</t>
  </si>
  <si>
    <t>Code SearchBar với useState nội bộ trong SearchBar.</t>
  </si>
  <si>
    <t>Chuyển state keyword lên component cha (App.jsx) để thực hiện Lifting State Up.</t>
  </si>
  <si>
    <t>Gõ 1 ký tự hiện warning đỏ, bấm nút (x) xóa sạch từ khóa.</t>
  </si>
  <si>
    <t>Prompt #2</t>
  </si>
  <si>
    <t>Prompt #3</t>
  </si>
  <si>
    <t>Code SearchBar.jsx, quản lý state bất biến (Immutable) tại App.jsx, cập nhật badge Header.</t>
  </si>
  <si>
    <t>Gợi ý cách viết điều kiện validation và hiệu ứng hiển thị thông báo lỗi.</t>
  </si>
  <si>
    <t>(1) AI ban đầu dùng state nội bộ trong SearchBar khiến App không lấy được từ khóa; (2) AI gợi ý mutating state bằng `.push()` làm hỏng Virtual DOM shallow comparison.</t>
  </si>
  <si>
    <t>Hiểu và giải thích nguyên lý Immutable State Updates cho nhóm.</t>
  </si>
  <si>
    <t>Luôn áp dụng Spread Operator `[...prev, newItem]` khi cập nhật state mảng.</t>
  </si>
  <si>
    <t>Quản lý state savedProjects tại App.jsx và truyền dữ liệu hiển thị badge xuống Header.jsx.</t>
  </si>
  <si>
    <t>Hướng dẫn kỹ thuật Lifting State Up và cách cập nhật mảng state bất biến.</t>
  </si>
  <si>
    <t>(1) AI gợi ý dùng hàm push() làm thay đổi trực tiếp state gốc; (2) AI viết thiếu prop-types kiểm thử dữ liệu đầu vào.</t>
  </si>
  <si>
    <t>Hiểu rõ cơ chế re-render của React khi state cha thay đổi.</t>
  </si>
  <si>
    <t>Sử dụng các hook tối ưu hóa render nếu số lượng dự án đã lưu tăng lên.</t>
  </si>
  <si>
    <t>Xây dựng component SearchBar.jsx kiểm soát dữ liệu và thiết kế drawer SavedProjectsModal.jsx.</t>
  </si>
  <si>
    <t>Gợi ý cấu trúc controlled component và các hiệu ứng chuyển động trượt của drawer.</t>
  </si>
  <si>
    <t>(1) AI không xử lý đóng drawer khi click bên ngoài; (2) AI không validate dữ liệu tìm kiếm dẫn đến lỗi render khi nhập ký tự đặc biệt.</t>
  </si>
  <si>
    <t>Cấu hình CSS transition cho drawer trượt mượt mà.</t>
  </si>
  <si>
    <t>Sử dụng thư viện React-Bootstrap Offcanvas thay vì tự code drawer CSS.</t>
  </si>
  <si>
    <t>FER202  |  Week 04  |  FPT University — Điền xong nhớ Ctrl+S để lưu!</t>
  </si>
  <si>
    <t>2026-06-27</t>
  </si>
  <si>
    <t>Rebuild Header bằng React-Bootstrap Navbar, Nav và Navbar.Toggle</t>
  </si>
  <si>
    <t>Cấu hình Hamburger menu collapse tự động ẩn hiện trên Mobile</t>
  </si>
  <si>
    <t>Test mượt ở 375px mobile</t>
  </si>
  <si>
    <t>Thiết kế Banner Jumbotron style gradient Emerald Slate và stats counters</t>
  </si>
  <si>
    <t>Tối ưu typography, badges uy tín và nút CTA</t>
  </si>
  <si>
    <t>Banner hiển thị ấn tượng</t>
  </si>
  <si>
    <t>Rebuild ProjectGrid bằng Row g-4 và Col (xs=12, md=6, lg=4)</t>
  </si>
  <si>
    <t>Cấu hình Grid system responsive chuẩn 3 breakpoints</t>
  </si>
  <si>
    <t>Không vỡ layout ở mọi màn hình</t>
  </si>
  <si>
    <t>Thiết kế ProjectCard đồng bộ chiều cao h-100 với skill badges và Proposal Modal</t>
  </si>
  <si>
    <t>Tích hợp Proposal Action Modal nộp báo giá</t>
  </si>
  <si>
    <t>Card đều nhau ở mọi cột</t>
  </si>
  <si>
    <t>Tùy biến CSS design system variables (primary #059669) và hiệu ứng hover</t>
  </si>
  <si>
    <t>Thêm hiệu ứng translateY -4px và box-shadow</t>
  </si>
  <si>
    <t>Hover hiệu ứng mượt mượt</t>
  </si>
  <si>
    <t>Kiểm thử responsive trên 3 Breakpoints chuẩn (375px, 768px, 1280px)</t>
  </si>
  <si>
    <t>docs/week05-responsive.md</t>
  </si>
  <si>
    <t>Chụp ảnh minh họa DevTools Toolbar</t>
  </si>
  <si>
    <t>Layout đáp ứng 100% tiêu chí</t>
  </si>
  <si>
    <t>Rebuild Header.jsx bằng React-Bootstrap Navbar, Nav, Navbar.Toggle collapse</t>
  </si>
  <si>
    <t>Tùy biến CSS design system variables (Emerald #059669) và card hover effects</t>
  </si>
  <si>
    <t>Sửa lỗi Hamburger menu không tự thu gọn khi click link trên mobile</t>
  </si>
  <si>
    <t>Rebuild Header.jsx sử dụng React-Bootstrap Navbar với logo, responsive collapse toggle và badge số lượng dự án đã lưu.</t>
  </si>
  <si>
    <t>Code Navbar React-Bootstrap cơ bản.</t>
  </si>
  <si>
    <t>Thay đổi lớp màu sắc primary thành tông xanh ngọc Emerald `#059669` và thêm hiệu ứng bo góc.</t>
  </si>
  <si>
    <t>Kiểm thử trên 3 breakpoints 375px, 768px, 1280px mượt mà.</t>
  </si>
  <si>
    <t>Rebuild Header với React-Bootstrap, tạo hệ thống CSS Design System cho FJMS.</t>
  </si>
  <si>
    <t>Hướng dẫn sử dụng các component Container, Navbar, Nav, Badge của React-Bootstrap.</t>
  </si>
  <si>
    <t>(1) AI dùng thuộc tính `bg="primary"` mặc định của Bootstrap làm mất màu Emerald thương hiệu; (2) AI lạm dụng inline CSS thay vì dùng class utilities.</t>
  </si>
  <si>
    <t>Căn chỉnh z-index sticky header sao cho không đè lên Modal drawer.</t>
  </si>
  <si>
    <t>Đưa toàn bộ biến màu sắc vào file `index.css` để quản lý tập trung.</t>
  </si>
  <si>
    <t>FER202  |  Week 05  |  FPT University — Điền xong nhớ Ctrl+S để lưu!</t>
  </si>
  <si>
    <t>2026-06-28</t>
  </si>
  <si>
    <t>Cấu hình BrowserRouter, Routes, Route cho các trang /, /projects, /saved</t>
  </si>
  <si>
    <t>Bọc ứng dụng với BrowserRouter</t>
  </si>
  <si>
    <t>Chuyển trang không reload</t>
  </si>
  <si>
    <t>Viết ProjectDetailPage.jsx hiển thị chi tiết dự án dùng useParams()</t>
  </si>
  <si>
    <t>src/pages/ProjectDetailPage.jsx</t>
  </si>
  <si>
    <t>Lấy ID từ URL param và hiển thị dữ liệu tương ứng</t>
  </si>
  <si>
    <t>Hiển thị đúng ID dự án</t>
  </si>
  <si>
    <t>Viết ProtectedRoute.jsx bảo vệ trang Admin Dashboard</t>
  </si>
  <si>
    <t>src/components/ProtectedRoute.jsx</t>
  </si>
  <si>
    <t>Chuyển hướng về trang chủ khi chưa login</t>
  </si>
  <si>
    <t>Chặn truy cập trái phép</t>
  </si>
  <si>
    <t>Viết NotFoundPage.jsx xử lý lỗi Route 404</t>
  </si>
  <si>
    <t>src/pages/NotFoundPage.jsx</t>
  </si>
  <si>
    <t>Thêm nút quay lại trang chủ</t>
  </si>
  <si>
    <t>Hiển thị 404 chuẩn UX</t>
  </si>
  <si>
    <t>Cấu hình BrowserRouter, Routes, Route cho các trang chính và NotFoundPage 404</t>
  </si>
  <si>
    <t>Chuyển đổi toàn bộ thẻ &lt;a&gt; sang &lt;Link&gt; và &lt;NavLink&gt; của React Router DOM</t>
  </si>
  <si>
    <t>Sửa lỗi F5 bị 404 khi chuyển trang trên dev server</t>
  </si>
  <si>
    <t>Cấu hình React Router DOM v6/v7 cho ứng dụng FJMS với các route /, /projects, /projects/:id, /saved, và /admin.</t>
  </si>
  <si>
    <t>Code BrowserRouter và Routes cơ bản.</t>
  </si>
  <si>
    <t>Thêm ProtectedRoute wrapper cho trang /admin và NotFound route `*`.</t>
  </si>
  <si>
    <t>Click điều hướng chuyển trang tức thì không reload lại trình duyệt.</t>
  </si>
  <si>
    <t>Cấu hình hệ thống định tuyến SPA, viết ProtectedRoute chặn truy cập trái phép.</t>
  </si>
  <si>
    <t>Hướng dẫn cấu hình bọc Router và viết component điều hướng link.</t>
  </si>
  <si>
    <t>(1) AI dùng cú pháp React Router v5 cũ (`&lt;Switch&gt;` thay vì `&lt;Routes&gt;`); (2) AI quên khai báo catch-all route `*` cho trang 404.</t>
  </si>
  <si>
    <t>Quản lý trạng thái đăng nhập giả lập khi chuyển đổi trang.</t>
  </si>
  <si>
    <t>Cập nhật tài liệu React Router mới nhất trước khi nâng cấp phiên bản.</t>
  </si>
  <si>
    <t>FER202  |  Week 06  |  FPT University — Điền xong nhớ Ctrl+S để lưu!</t>
  </si>
  <si>
    <t>2026-06-29</t>
  </si>
  <si>
    <t>Tạo ProjectContext.jsx chia sẻ savedProjects toàn cục không props drilling</t>
  </si>
  <si>
    <t>src/context/ProjectContext.jsx</t>
  </si>
  <si>
    <t>Viết custom hook useProject() dễ dàng gọi context</t>
  </si>
  <si>
    <t>Context hoạt động mượt mượt</t>
  </si>
  <si>
    <t>Viết ThemeContext.jsx chuyển đổi giao diện Sáng/Tối lưu localStorage</t>
  </si>
  <si>
    <t>src/context/ThemeContext.jsx</t>
  </si>
  <si>
    <t>Đồng bộ theme với document body class</t>
  </si>
  <si>
    <t>Đổi theme không mất state</t>
  </si>
  <si>
    <t>Dùng useEffect mockup fetch API 800ms và useRef auto focus ô tìm kiếm</t>
  </si>
  <si>
    <t>src/pages/ProjectListPage.jsx</t>
  </si>
  <si>
    <t>Thêm cleanup timer cho useEffect khi unmount</t>
  </si>
  <si>
    <t>Auto focus thành công</t>
  </si>
  <si>
    <t>Xây dựng ProjectContext.jsx và custom hook useProject() chia sẻ state toàn cục</t>
  </si>
  <si>
    <t>Tích hợp useEffect cập nhật document.title theo số lượng dự án đã lưu</t>
  </si>
  <si>
    <t>Sửa lỗi memory leak do quên cleanup timer trong useEffect</t>
  </si>
  <si>
    <t>Viết ProjectContext.jsx và custom hook useProject() để quản lý savedProjects state toàn cục không cần truyền qua props.</t>
  </si>
  <si>
    <t>Code createContext và Provider cơ bản.</t>
  </si>
  <si>
    <t>Tạo custom hook `useProject` có kiểm tra null Context để bắt lỗi phát triển.</t>
  </si>
  <si>
    <t>Header và Cards gọi trực tiếp useProject() lấy state mượt mượt.</t>
  </si>
  <si>
    <t>Tạo ProjectContext, viết custom hook `useProject()`, tối ưu hóa Side Effects với useEffect.</t>
  </si>
  <si>
    <t>Viết nhanh boilerplate code cho Context Provider.</t>
  </si>
  <si>
    <t>(1) AI không tạo custom hook wrapper gây lặp lại useContext(ProjectContext) ở nhiều nơi; (2) AI thiếu hàm cleanup trong useEffect khi setTimeout.</t>
  </si>
  <si>
    <t>Tránh re-render không cần thiết khi Context state thay đổi.</t>
  </si>
  <si>
    <t>Tách biệt các Context theo đúng trách nhiệm (ThemeContext, ProjectContext).</t>
  </si>
  <si>
    <t>FER202  |  Week 07  |  FPT University — Điền xong nhớ Ctrl+S để lưu!</t>
  </si>
  <si>
    <t>2026-06-30</t>
  </si>
  <si>
    <t>Xây dựng projectService.js sử dụng axios.create cho 5 hàm CRUD</t>
  </si>
  <si>
    <t>src/services/projectService.js</t>
  </si>
  <si>
    <t>Cấu hình BaseURL và timeout 5000ms</t>
  </si>
  <si>
    <t>Gọi API CRUD thành công</t>
  </si>
  <si>
    <t>Quản lý 3 trạng thái bất đồng bộ Loading Spinner, Error Alert và Success Data</t>
  </si>
  <si>
    <t>Thêm nút retry khi xảy ra lỗi network</t>
  </si>
  <si>
    <t>Spinner quay khi loading</t>
  </si>
  <si>
    <t>Thiết kế ProjectManagePage.jsx (Admin CRUD) với Form Modal Thêm/Sửa dự án</t>
  </si>
  <si>
    <t>src/pages/admin/ProjectManagePage.jsx</t>
  </si>
  <si>
    <t>Validate dữ liệu form trước khi submit API</t>
  </si>
  <si>
    <t>Thêm/Sửa/Xóa cập nhật API</t>
  </si>
  <si>
    <t>Xây dựng projectService.js sử dụng axios.create cho 5 phương thức CRUD</t>
  </si>
  <si>
    <t>Cấu hình BaseURL và Interceptors xử lý error responses</t>
  </si>
  <si>
    <t>Sửa lỗi CORS khi gọi mock API endpoint</t>
  </si>
  <si>
    <t>Viết file projectService.js dùng Axios gọi API json-server với các hàm getProjects, createProject, updateProject, deleteProject.</t>
  </si>
  <si>
    <t>File projectService với các hàm async/await axios cơ bản.</t>
  </si>
  <si>
    <t>Thêm instance `axios.create` có `baseURL` và `timeout: 5000` chuyên nghiệp.</t>
  </si>
  <si>
    <t>Gọi API trả về data 8 dự án chính xác.</t>
  </si>
  <si>
    <t>Viết Service Layer với Axios, xử lý các trạng thái bất đồng bộ.</t>
  </si>
  <si>
    <t>Gợi ý cú pháp async/await và xử lý try/catch chuyên nghiệp.</t>
  </si>
  <si>
    <t>(1) AI dùng `axios.get` trực tiếp mà không dùng instance cấu hình sẵn; (2) AI không xử lý lỗi timeout khi server không phản hồi.</t>
  </si>
  <si>
    <t>Đồng bộ dữ liệu hiển thị tức thì sau khi thao tác CRUD.</t>
  </si>
  <si>
    <t>Áp dụng cơ chế Optimistic UI Updates khi cập nhật dữ liệu.</t>
  </si>
  <si>
    <t>Cấu hình Service Layer với Axios và quản lý các trạng thái bất đồng bộ Loading/Error trên ProjectListPage.</t>
  </si>
  <si>
    <t>Gợi ý mẫu spinner loading và cấu trúc try-catch xử lý lỗi gọi API.</t>
  </si>
  <si>
    <t>(1) AI gợi ý gọi API trực tiếp trong render loop gây lặp vô hạn; (2) AI không bọc nút Retry trong handler phù hợp dẫn đến lỗi crash.</t>
  </si>
  <si>
    <t>Xử lý đồng bộ dữ liệu UI khi API phản hồi chậm.</t>
  </si>
  <si>
    <t>Tự động gọi lại API (auto-retry) khi gặp lỗi mạng tạm thời.</t>
  </si>
  <si>
    <t>Thiết kế trang quản trị ProjectManagePage.jsx và Modal Form Thêm/Sửa dự án.</t>
  </si>
  <si>
    <t>Viết nhanh form boilerplate và các validation rules cơ bản.</t>
  </si>
  <si>
    <t>(1) AI không reset form state sau khi đóng Modal dẫn đến lộ dữ liệu cũ; (2) AI viết thiếu confirm dialog trước khi gọi API xóa.</t>
  </si>
  <si>
    <t>Validate dữ liệu phức tạp trên Form (ví dụ: budget phải là số dương).</t>
  </si>
  <si>
    <t>Sử dụng thư viện Formik hoặc React Hook Form để quản lý validation chuyên nghiệp hơn.</t>
  </si>
  <si>
    <t>FER202  |  Week 08  |  FPT University — Điền xong nhớ Ctrl+S để lưu!</t>
  </si>
  <si>
    <t>2026-07-01</t>
  </si>
  <si>
    <t>Viết custom hook useFetch(url, params) tái sử dụng logic gọi API</t>
  </si>
  <si>
    <t>src/hooks/useFetch.js</t>
  </si>
  <si>
    <t>Dùng useCallback tránh vòng lặp vô hạn</t>
  </si>
  <si>
    <t>Code trang List gọn hơn 40%</t>
  </si>
  <si>
    <t>Viết custom hook useDebounce(value, delay) giảm số request tìm kiếm</t>
  </si>
  <si>
    <t>src/hooks/useDebounce.js</t>
  </si>
  <si>
    <t>Delay 500ms khi gõ từ khóa tìm kiếm</t>
  </si>
  <si>
    <t>Giảm 80% số lượng request</t>
  </si>
  <si>
    <t>Viết custom hook useLocalStorage(key, initialValue) đồng bộ Wishlist</t>
  </si>
  <si>
    <t>src/hooks/useLocalStorage.js</t>
  </si>
  <si>
    <t>Thêm try-catch khi parse JSON từ Storage</t>
  </si>
  <si>
    <t>Dữ liệu giữ nguyên khi F5</t>
  </si>
  <si>
    <t>Viết custom hook useFetch.js tách biệt logic gọi API và UI state</t>
  </si>
  <si>
    <t>Tái sử dụng tốt cho các trang danh sách</t>
  </si>
  <si>
    <t>Viết custom hook useDebounce.js để trì hoãn cập nhật từ khóa tìm kiếm</t>
  </si>
  <si>
    <t>Đảm bảo cleanup timer khi value hoặc delay thay đổi</t>
  </si>
  <si>
    <t>Viết custom hook useLocalStorage.js để quản lý state đồng bộ với local storage</t>
  </si>
  <si>
    <t>Hỗ trợ cả hàm khởi tạo lazy state initializer</t>
  </si>
  <si>
    <t>Refactor toàn bộ trang ProjectListPage sử dụng custom hooks useFetch và useDebounce</t>
  </si>
  <si>
    <t>Giúp rút gọn hơn 40 dòng code</t>
  </si>
  <si>
    <t>Tích hợp useDebounce vào ô tìm kiếm SearchBar ở trang ProjectListPage</t>
  </si>
  <si>
    <t>Từ khóa được debounce 500ms trước khi gọi fetch dự án</t>
  </si>
  <si>
    <t>Refactor ProjectContext sử dụng useLocalStorage để lưu trữ wishlist (Saved Projects)</t>
  </si>
  <si>
    <t>Giúp wishlist không bị mất khi reload</t>
  </si>
  <si>
    <t>Sửa lỗi infinite fetch loop do thiếu useCallback trong custom hook</t>
  </si>
  <si>
    <t>Đã thêm useCallback bọc hàm refetch</t>
  </si>
  <si>
    <t>Sửa lỗi ô input bị giật lag (losing focus) khi gõ tìm kiếm</t>
  </si>
  <si>
    <t>Tách state local của input khỏi state debounce toàn cục</t>
  </si>
  <si>
    <t>Sửa lỗi crash app khi parse JSON lỗi nếu dữ liệu trong LocalStorage không đúng định dạng</t>
  </si>
  <si>
    <t>Bọc trong khối try-catch và fallback về initialValue</t>
  </si>
  <si>
    <t>Viết custom hook useFetch(url) trong React trả về { data, loading, error, refetch } để tái sử dụng logic gọi API.</t>
  </si>
  <si>
    <t>AI tạo ra code sử dụng useState và useEffect.</t>
  </si>
  <si>
    <t>Nhóm chỉnh sửa bọc hàm refetch bằng useCallback và bổ sung dependency array chuẩn Rules of Hooks.</t>
  </si>
  <si>
    <t>Rút gọn được hơn 40 dòng code trùng lặp ở các trang gọi API.</t>
  </si>
  <si>
    <t>Prompt #2  (B — Gemini)</t>
  </si>
  <si>
    <t>Viết custom hook useDebounce trong ReactJS nhận vào một value và delay, tự động cập nhật và trả về value sau khoảng delay đó.</t>
  </si>
  <si>
    <t>AI tạo ra đoạn mã sử dụng setTimeout và useEffect để cập nhật state trì hoãn.</t>
  </si>
  <si>
    <t>Nhóm chỉnh sửa thêm hàm cleanup dọn dẹp bộ nhớ clearTimeout(handler) trong phần return của useEffect để xóa bộ định thời cũ khi từ khóa thay đổi liên tục.</t>
  </si>
  <si>
    <t>Khi người dùng gõ từ khóa tìm kiếm nhanh, console chỉ ghi nhận đúng 1 request API gửi đi sau 500ms kể từ khi dừng gõ.</t>
  </si>
  <si>
    <t>Prompt #3  (C — Gemini)</t>
  </si>
  <si>
    <t>Tạo custom hook useLocalStorage(key, initialValue) trong React để tự động đồng bộ hóa state của component với localStorage.</t>
  </si>
  <si>
    <t>AI cung cấp đoạn mã đọc/ghi localStorage tự động nhưng không xử lý các trường hợp lỗi dữ liệu JSON.</t>
  </si>
  <si>
    <t>Nhóm chỉnh sửa bọc logic trong khối try-catch để tránh crash app nếu localStorage rỗng hoặc lỗi JSON.parse, đồng thời tối ưu state initializer.</t>
  </si>
  <si>
    <t>Lưu dự án vào wishlist, tải lại trang (F5) thấy danh sách dự án đã lưu giữ nguyên và hiển thị chính xác.</t>
  </si>
  <si>
    <t>Viết `useFetch.js`, refactor codebase tuân thủ Separation of Concerns và Rules of Hooks.</t>
  </si>
  <si>
    <t>Gợi ý mẫu thiết kế Custom Hook chuẩn React 19.</t>
  </si>
  <si>
    <t>(1) AI quên bọc hàm refetch trong `useCallback` gây lặp vô hạn khi dùng trong useEffect; (2) AI vi phạm Rules of Hooks khi gọi hook bên trong câu lệnh `if`.</t>
  </si>
  <si>
    <t>Kiểm soát phụ thuộc (dependencies) trong useEffect/useCallback.</t>
  </si>
  <si>
    <t>Luôn bật linter ESLint/Oxlint để phát hiện sớm các vi phạm hook rule.</t>
  </si>
  <si>
    <t>Xây dựng custom hook useDebounce.js và refactor lại trang danh sách dự án ProjectListPage.jsx để tối ưu hóa thanh tìm kiếm.</t>
  </si>
  <si>
    <t>Gợi ý cấu trúc hook useDebounce chuẩn và giải thích cơ chế dọn dẹp (cleanup) bộ định thời trong useEffect.</t>
  </si>
  <si>
    <t>(1) AI ban đầu không trả về hàm dọn dẹp clearTimeout, gây ra hiện tượng rò rỉ bộ nhớ (memory leak) do hàng chục bộ định thời chạy ngầm; (2) AI gợi ý liên kết trực tiếp giá trị debounce với value của ô input khiến giao diện bị giật lag nghiêm trọng khi gõ nhanh.</t>
  </si>
  <si>
    <t>Xử lý đồng bộ giữa state nhập của người dùng (gõ ký tự hiển thị ngay lập tức) và state tìm kiếm đã được debounce.</t>
  </si>
  <si>
    <t>Nghiên cứu thêm giải pháp tối ưu hóa render (useMemo, React.memo) cho các card dự án khi danh sách cập nhật.</t>
  </si>
  <si>
    <t>Viết custom hook useLocalStorage.js và refactor ProjectContext.jsx cùng SavedProjectsPage.jsx để đồng bộ danh sách dự án yêu thích (Wishlist) xuống ổ đĩa cục bộ.</t>
  </si>
  <si>
    <t>Cung cấp khung code đọc/ghi localStorage và cách xử lý đồng bộ state đồng nhất.</t>
  </si>
  <si>
    <t>(1) AI không xử lý trường hợp localStorage bị đầy (QuotaExceededError) hoặc bị trình duyệt chặn do cài đặt quyền riêng tư; (2) AI không sử dụng lazy state initialization làm cho hàm đọc localStorage phải chạy lại ở mọi lượt render gây ảnh hưởng hiệu năng.</t>
  </si>
  <si>
    <t>Đảm bảo đồng bộ hóa dữ liệu wishlist real-time khi người dùng mở ứng dụng trên nhiều tab trình duyệt khác nhau.</t>
  </si>
  <si>
    <t>Áp dụng thêm window event listener 'storage' để tự động cập nhật wishlist khi người dùng thao tác trên tab khác.</t>
  </si>
  <si>
    <t>FER202  |  Week 09  |  FPT University — Điền xong nhớ Ctrl+S để lưu!</t>
  </si>
  <si>
    <t>2026-07-02</t>
  </si>
  <si>
    <t>Cấu hình Redux Toolkit Store &amp; projectSlice quản lý state tập trung</t>
  </si>
  <si>
    <t>src/store/projectSlice.js</t>
  </si>
  <si>
    <t>Migrate Header &amp; Cards sang useSelector/useDispatch</t>
  </si>
  <si>
    <t>Redux DevTools time-travel OK</t>
  </si>
  <si>
    <t>Áp dụng React.lazy + Suspense code splitting theo Route tối ưu bundle size</t>
  </si>
  <si>
    <t>Lazy load các trang admin và chi tiết</t>
  </si>
  <si>
    <t>Kích thước bundle giảm 35%</t>
  </si>
  <si>
    <t>Cấu hình vercel.json và deploy thành công ứng dụng FJMS trực tuyến</t>
  </si>
  <si>
    <t>vercel.json</t>
  </si>
  <si>
    <t>Cấu hình rewrite URL phục vụ SPA không bị lỗi 404</t>
  </si>
  <si>
    <t>Live URL Vercel mượt mượt</t>
  </si>
  <si>
    <t>Cấu hình Redux Toolkit Store &amp; projectSlice quản lý state tập trung nâng cao</t>
  </si>
  <si>
    <t>Tích hợp Provider vào main.jsx</t>
  </si>
  <si>
    <t>Thêm React.lazy và Suspense để chia nhỏ gói tải (code splitting) theo các Route</t>
  </si>
  <si>
    <t>Bọc các route động trong Suspense với loading spinner</t>
  </si>
  <si>
    <t>Tạo tệp cấu hình vercel.json để thiết lập các quy tắc viết lại URL (rewrites) phục vụ Single Page Application</t>
  </si>
  <si>
    <t>Định tuyến tất cả các request về index.html</t>
  </si>
  <si>
    <t>Migrate components Header và Cards sang useSelector/useDispatch</t>
  </si>
  <si>
    <t>Loại bỏ hoàn toàn Context API cho wishlist</t>
  </si>
  <si>
    <t>Cấu hình dynamic prefetching khi người dùng hover vào các link menu điều hướng</t>
  </si>
  <si>
    <t>Nâng cao trải nghiệm người dùng, tải trước chunk file</t>
  </si>
  <si>
    <t>Cấu hình biến môi trường production API URL cho Axios service khi deploy</t>
  </si>
  <si>
    <t>Tách biệt API URL giữa môi trường local và production</t>
  </si>
  <si>
    <t>Sửa lỗi routing 404 khi F5 trang trên Vercel production deployment</t>
  </si>
  <si>
    <t>Đã thêm vercel.json rewrites rule</t>
  </si>
  <si>
    <t>Sửa lỗi nhấp nháy màn hình (layout shift) khi chuyển trang chậm</t>
  </si>
  <si>
    <t>src/components/Loader.jsx</t>
  </si>
  <si>
    <t>Thiết kế màn hình chờ loading cân đối hơn</t>
  </si>
  <si>
    <t>Sửa lỗi 404 Not Found khi tải lại trang (F5) ở các đường dẫn sâu như /projects/1 trên Vercel</t>
  </si>
  <si>
    <t>Cấu hình rewrite source: "/(.*)" destination: "/index.html" chính xác</t>
  </si>
  <si>
    <t>Cấu hình Redux Toolkit Store trong React 19 với projectSlice chứa reducers saveProject và removeSavedProject.</t>
  </si>
  <si>
    <t>Nhóm chỉnh sửa tích hợp Provider vào main.jsx và bổ sung Immer immutable state logic.</t>
  </si>
  <si>
    <t>Redux DevTools theo dõi time-travel debugging mượt mà.</t>
  </si>
  <si>
    <t>Làm thế nào để cấu hình Route-based code splitting sử dụng React.lazy và Suspense trong React Router DOM v7?</t>
  </si>
  <si>
    <t>AI trả về cú pháp import động () =&gt; import() kết hợp bọc component trong &lt;Suspense fallback={&lt;Spinner /&gt;}&gt;.</t>
  </si>
  <si>
    <t>Nhóm chỉnh sửa tạo một component Loader/Spinner chuyên dụng, tối ưu thời gian trì hoãn hiển thị để tránh hiện tượng giật màn hình khi mạng nhanh.</t>
  </si>
  <si>
    <t>Kiểm tra tab Network của Chrome DevTools, thấy các file chunk JS tương ứng (ví dụ: ProjectDetailPage) được tải riêng lẻ khi chuyển sang trang đó.</t>
  </si>
  <si>
    <t>Tạo file vercel.json để cấu hình URL rewrite cho ứng dụng Single Page Application viết bằng React Router trên Vercel tránh lỗi 404 khi tải lại trang.</t>
  </si>
  <si>
    <t>AI trả về cú pháp file vercel.json chứa cấu trúc "rewrites": [{"source": "/(.*)", "destination": "/index.html"}].</t>
  </si>
  <si>
    <t>Nhóm chỉnh sửa bổ sung các ngoại lệ loại trừ cho thư mục public tĩnh để tránh ghi đè các file ảnh/logo.</t>
  </si>
  <si>
    <t>Deploy ứng dụng lên Vercel thành công, truy cập các trang con và bấm F5, trang web tải lại bình thường không còn bị lỗi 404.</t>
  </si>
  <si>
    <t>Cấu hình Redux Toolkit Store, migrate state, tạo file `vercel.json` và deploy ứng dụng trực tuyến.</t>
  </si>
  <si>
    <t>Viết nhanh Redux slice boilerplate và file `vercel.json` rewrite.</t>
  </si>
  <si>
    <t>(1) AI gợi ý cú pháp Redux cũ (connect / mapStateToProps) thay vì Redux Toolkit hooks mới; (2) AI thiếu file cấu hình vercel.json gây lỗi 404 khi F5 trên Vercel.</t>
  </si>
  <si>
    <t>Chuyển đổi toàn bộ ứng dụng từ Context API sang Redux mà không làm gián đoạn tính năng.</t>
  </si>
  <si>
    <t>Đóng gói dự án bài bản, tạo bản build tối ưu trước khi đưa lên môi trường sản xuất.</t>
  </si>
  <si>
    <t>Triển khai Lazy Loading cho toàn bộ hệ thống route (Route-based code splitting) và tối ưu hóa trải nghiệm chuyển trang.</t>
  </si>
  <si>
    <t>Hướng dẫn cấu hình Suspense và chia sẻ kỹ thuật prefetch file chunk để giảm thiểu độ trễ giao diện.</t>
  </si>
  <si>
    <t>(1) AI không xử lý trường hợp lỗi tải file chunk (ChunkLoadError) do mất mạng giữa chừng làm ứng dụng bị crash; (2) AI đưa ra cấu hình prefetch không đúng chuẩn React 19 mới nhất làm phát sinh warning trên console.</t>
  </si>
  <si>
    <t>Xử lý lỗi ChunkLoadError khi người dùng mất mạng hoặc server triển khai bản build mới.</t>
  </si>
  <si>
    <t>Sử dụng Error Boundary bọc quanh các component Suspense để hiển thị giao diện báo lỗi thân thiện thay vì crash app.</t>
  </si>
  <si>
    <t>Cấu hình tệp vercel.json, quản lý các biến môi trường và tiến hành deploy ứng dụng lên Vercel.</t>
  </si>
  <si>
    <t>Cung cấp cú pháp tệp vercel.json chuẩn và hướng dẫn cách thiết lập biến môi trường trên dashboard Vercel.</t>
  </si>
  <si>
    <t>(1) AI gợi ý cấu hình rewrites đè lên cả các request API bên thứ ba; (2) AI không cảnh báo về việc cache dữ liệu API tĩnh trên CDN của Vercel khiến cho danh sách dự án không cập nhật dữ liệu mới khi thay đổi trên json-server.</t>
  </si>
  <si>
    <t>Kiểm thử quá trình deploy tự động thông qua GitHub Integration của Vercel và sửa lỗi build fail do linter cảnh báo.</t>
  </si>
  <si>
    <t>Thiết lập script build tối ưu hơn và thiết lập hệ thống CI/CD để tự động chạy test trước khi deploy.</t>
  </si>
  <si>
    <t>FER202  |  Week 10  |  FPT University — Điền xong nhớ Ctrl+S để lưu!</t>
  </si>
  <si>
    <t>SUMMARY — Tổng hợp cả học kỳ</t>
  </si>
  <si>
    <t>📊  Tổng số lần dùng AI theo tuần &amp; thành viên (tự động đếm từ các sheet Week)</t>
  </si>
  <si>
    <t>Tuần</t>
  </si>
  <si>
    <t>TV-A</t>
  </si>
  <si>
    <t>TV-B</t>
  </si>
  <si>
    <t>TV-C</t>
  </si>
  <si>
    <t>TV-D</t>
  </si>
  <si>
    <t>TV-E</t>
  </si>
  <si>
    <t>Tổng</t>
  </si>
  <si>
    <t>Week 01</t>
  </si>
  <si>
    <t>Week 02</t>
  </si>
  <si>
    <t>Week 03</t>
  </si>
  <si>
    <t>Week 04</t>
  </si>
  <si>
    <t>Week 05</t>
  </si>
  <si>
    <t>Week 06</t>
  </si>
  <si>
    <t>Week 07</t>
  </si>
  <si>
    <t>Week 08</t>
  </si>
  <si>
    <t>Week 09</t>
  </si>
  <si>
    <t>Week 10</t>
  </si>
  <si>
    <t>TỔNG</t>
  </si>
  <si>
    <t>📝  Nhận xét tổng kết học kỳ của nhóm</t>
  </si>
  <si>
    <t>Gemini (Google) được sử dụng xuyên suốt dự án để hỗ trợ code boilerplate và debug.</t>
  </si>
  <si>
    <t>Tuần 9 và 10. Nhóm sử dụng AI để viết nhanh custom hooks và cấu hình Redux Toolkit, giúp đẩy nhanh tiến độ hoàn thành.</t>
  </si>
  <si>
    <t>AI thường gợi ý cú pháp cũ hoặc thiếu tối ưu hóa (như thiếu dependency array trong useEffect, thiếu cleanup functions).</t>
  </si>
  <si>
    <t>Cần hiểu rõ bản chất code trước khi sử dụng gợi ý từ AI, luôn kiểm tra kỹ lưỡng và viết test case để kiểm chứng.</t>
  </si>
  <si>
    <t xml:space="preserve">Prompt #2 (B-gemini)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</si>
</sst>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charset val="1"/>
    </font>
    <font>
      <b/>
      <sz val="16"/>
      <color rgb="FFFFFFFF"/>
      <name val="Arial"/>
      <charset val="1"/>
    </font>
    <font>
      <i/>
      <sz val="11"/>
      <color rgb="FFFFFFFF"/>
      <name val="Arial"/>
      <charset val="1"/>
    </font>
    <font>
      <b/>
      <sz val="11"/>
      <color rgb="FFFFFFFF"/>
      <name val="Arial"/>
      <charset val="1"/>
    </font>
    <font>
      <sz val="10"/>
      <color rgb="FF000000"/>
      <name val="Arial"/>
      <charset val="1"/>
    </font>
    <font>
      <b/>
      <sz val="15"/>
      <color rgb="FFFFFFFF"/>
      <name val="Arial"/>
      <charset val="1"/>
    </font>
    <font>
      <b/>
      <sz val="10"/>
      <color rgb="FF000000"/>
      <name val="Arial"/>
      <charset val="1"/>
    </font>
    <font>
      <u/>
      <sz val="11"/>
      <color theme="10"/>
      <name val="Calibri"/>
      <family val="2"/>
      <charset val="1"/>
    </font>
    <font>
      <b/>
      <sz val="14"/>
      <color rgb="FFFFFFFF"/>
      <name val="Arial"/>
      <charset val="1"/>
    </font>
    <font>
      <i/>
      <sz val="9"/>
      <color rgb="FF808080"/>
      <name val="Arial"/>
      <charset val="1"/>
    </font>
    <font>
      <sz val="10"/>
      <color rgb="FF000000"/>
      <name val="Arial"/>
      <family val="2"/>
    </font>
    <font>
      <b/>
      <i/>
      <sz val="10"/>
      <color rgb="FF000000"/>
      <name val="Arial"/>
      <charset val="1"/>
    </font>
    <font>
      <b/>
      <sz val="10"/>
      <color rgb="FF000000"/>
      <name val="Arial"/>
      <family val="2"/>
    </font>
    <font>
      <i/>
      <sz val="9"/>
      <color rgb="FF808080"/>
      <name val="Arial"/>
      <family val="2"/>
    </font>
    <font>
      <i/>
      <sz val="9"/>
      <color rgb="FFFFFFFF"/>
      <name val="Arial"/>
      <charset val="1"/>
    </font>
    <font>
      <b/>
      <sz val="8"/>
      <color theme="1"/>
      <name val="Cambria"/>
      <family val="1"/>
      <scheme val="major"/>
    </font>
    <font>
      <sz val="8"/>
      <color rgb="FFCCCCCC"/>
      <name val="Segoe UI"/>
      <family val="2"/>
    </font>
    <font>
      <b/>
      <i/>
      <sz val="10"/>
      <color rgb="FF000000"/>
      <name val="Arial"/>
      <family val="2"/>
    </font>
    <font>
      <b/>
      <sz val="10"/>
      <color rgb="FF000000"/>
      <name val="Arial"/>
      <family val="2"/>
      <charset val="1"/>
    </font>
  </fonts>
  <fills count="13">
    <fill>
      <patternFill patternType="none"/>
    </fill>
    <fill>
      <patternFill patternType="gray125"/>
    </fill>
    <fill>
      <patternFill patternType="none"/>
    </fill>
    <fill>
      <patternFill patternType="solid">
        <fgColor rgb="FF1F3864"/>
        <bgColor rgb="FF333399"/>
      </patternFill>
    </fill>
    <fill>
      <patternFill patternType="solid">
        <fgColor rgb="FF2E75B6"/>
        <bgColor rgb="FF0066CC"/>
      </patternFill>
    </fill>
    <fill>
      <patternFill patternType="solid">
        <fgColor rgb="FF7030A0"/>
        <bgColor rgb="FF993366"/>
      </patternFill>
    </fill>
    <fill>
      <patternFill patternType="solid">
        <fgColor rgb="FF375623"/>
        <bgColor rgb="FF333300"/>
      </patternFill>
    </fill>
    <fill>
      <patternFill patternType="solid">
        <fgColor rgb="FFD6E4F0"/>
        <bgColor rgb="FFE2EFDA"/>
      </patternFill>
    </fill>
    <fill>
      <patternFill patternType="solid">
        <fgColor rgb="FFE2EFDA"/>
        <bgColor rgb="FFF2F2F2"/>
      </patternFill>
    </fill>
    <fill>
      <patternFill patternType="solid">
        <fgColor rgb="FFF2F2F2"/>
        <bgColor rgb="FFE2EFDA"/>
      </patternFill>
    </fill>
    <fill>
      <patternFill patternType="solid">
        <fgColor rgb="FFEAD1DC"/>
        <bgColor rgb="FFFCE4D6"/>
      </patternFill>
    </fill>
    <fill>
      <patternFill patternType="solid">
        <fgColor rgb="FFC55A11"/>
        <bgColor rgb="FF993300"/>
      </patternFill>
    </fill>
    <fill>
      <patternFill patternType="solid">
        <fgColor rgb="FFFCE4D6"/>
        <bgColor rgb="FFF2F2F2"/>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top/>
      <bottom/>
      <diagonal/>
    </border>
  </borders>
  <cellStyleXfs count="1">
    <xf numFmtId="0" fontId="0" fillId="0" borderId="0"/>
  </cellStyleXfs>
  <cellXfs count="49">
    <xf numFmtId="0" fontId="0" fillId="0" borderId="0" xfId="0"/>
    <xf numFmtId="0" fontId="1" fillId="2" borderId="0" xfId="0" applyFont="1" applyFill="1"/>
    <xf numFmtId="0" fontId="5" fillId="2" borderId="1" xfId="0" applyFont="1" applyFill="1" applyBorder="1" applyAlignment="1">
      <alignment horizontal="left" vertical="center" wrapText="1"/>
    </xf>
    <xf numFmtId="0" fontId="7" fillId="2" borderId="4" xfId="0" applyFont="1" applyFill="1" applyBorder="1" applyAlignment="1">
      <alignment horizontal="left" vertical="center" wrapText="1"/>
    </xf>
    <xf numFmtId="0" fontId="7" fillId="7"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2"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7" fillId="2" borderId="3" xfId="0" applyFont="1" applyFill="1" applyBorder="1" applyAlignment="1">
      <alignment horizontal="left" vertical="center" wrapText="1"/>
    </xf>
    <xf numFmtId="0" fontId="11" fillId="2" borderId="1" xfId="0" applyFont="1" applyFill="1" applyBorder="1" applyAlignment="1">
      <alignment horizontal="left" vertical="center" wrapText="1"/>
    </xf>
    <xf numFmtId="14" fontId="5" fillId="2" borderId="1" xfId="0" applyNumberFormat="1" applyFont="1" applyFill="1" applyBorder="1" applyAlignment="1">
      <alignment horizontal="left" vertical="center" wrapText="1"/>
    </xf>
    <xf numFmtId="0" fontId="7" fillId="8"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8" fillId="2" borderId="0" xfId="0" applyFont="1" applyFill="1"/>
    <xf numFmtId="0" fontId="16" fillId="2" borderId="0" xfId="0" applyFont="1" applyFill="1"/>
    <xf numFmtId="0" fontId="17" fillId="2" borderId="0" xfId="0" applyFont="1" applyFill="1"/>
    <xf numFmtId="0" fontId="5"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2" borderId="2" xfId="0" applyFont="1" applyFill="1" applyBorder="1"/>
    <xf numFmtId="0" fontId="3"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1" fillId="2" borderId="3" xfId="0" applyFont="1" applyFill="1" applyBorder="1"/>
    <xf numFmtId="0" fontId="7" fillId="2" borderId="4"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3" borderId="1" xfId="0" applyFont="1" applyFill="1" applyBorder="1" applyAlignment="1">
      <alignment horizontal="center" vertical="center" wrapText="1"/>
    </xf>
    <xf numFmtId="0" fontId="10" fillId="2" borderId="0" xfId="0" applyFont="1" applyFill="1" applyAlignment="1">
      <alignment horizontal="center" vertical="center" wrapText="1"/>
    </xf>
    <xf numFmtId="0" fontId="1" fillId="2" borderId="0" xfId="0" applyFont="1" applyFill="1"/>
    <xf numFmtId="0" fontId="10" fillId="2" borderId="0" xfId="0" applyFont="1" applyFill="1" applyAlignment="1">
      <alignment horizontal="left" vertical="center" wrapText="1"/>
    </xf>
    <xf numFmtId="0" fontId="7" fillId="8" borderId="1" xfId="0" applyFont="1" applyFill="1" applyBorder="1" applyAlignment="1">
      <alignment horizontal="center" vertical="center" wrapText="1"/>
    </xf>
    <xf numFmtId="0" fontId="12" fillId="9" borderId="1" xfId="0" applyFont="1" applyFill="1" applyBorder="1" applyAlignment="1">
      <alignment horizontal="left" vertical="center" wrapText="1"/>
    </xf>
    <xf numFmtId="0" fontId="7" fillId="10"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10" fillId="2" borderId="1" xfId="0" applyFont="1" applyFill="1" applyBorder="1" applyAlignment="1">
      <alignment horizontal="left" vertical="center" wrapText="1"/>
    </xf>
    <xf numFmtId="0" fontId="13" fillId="9" borderId="1" xfId="0" applyFont="1" applyFill="1" applyBorder="1" applyAlignment="1">
      <alignment horizontal="center" vertical="center" wrapText="1"/>
    </xf>
    <xf numFmtId="0" fontId="11" fillId="2" borderId="1" xfId="0" applyFont="1" applyFill="1" applyBorder="1" applyAlignment="1">
      <alignment horizontal="left" vertical="center" wrapText="1"/>
    </xf>
    <xf numFmtId="0" fontId="4" fillId="11" borderId="1" xfId="0" applyFont="1" applyFill="1" applyBorder="1" applyAlignment="1">
      <alignment horizontal="left" vertical="center" wrapText="1"/>
    </xf>
    <xf numFmtId="0" fontId="7" fillId="12"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10" fillId="2" borderId="5" xfId="0" applyFont="1" applyFill="1" applyBorder="1" applyAlignment="1">
      <alignment horizontal="left" vertical="center" wrapText="1"/>
    </xf>
    <xf numFmtId="0" fontId="14" fillId="2" borderId="5" xfId="0" applyFont="1" applyFill="1" applyBorder="1" applyAlignment="1">
      <alignment horizontal="left" vertical="center" wrapText="1"/>
    </xf>
    <xf numFmtId="0" fontId="15" fillId="3" borderId="1" xfId="0" applyFont="1" applyFill="1" applyBorder="1" applyAlignment="1">
      <alignment horizontal="center" vertical="center" wrapText="1"/>
    </xf>
    <xf numFmtId="0" fontId="14" fillId="2" borderId="1" xfId="0" applyFont="1" applyFill="1" applyBorder="1" applyAlignment="1">
      <alignment horizontal="left" vertical="center" wrapText="1"/>
    </xf>
    <xf numFmtId="0" fontId="18" fillId="9" borderId="1" xfId="0" applyFont="1" applyFill="1" applyBorder="1" applyAlignment="1">
      <alignment horizontal="left" vertical="center" wrapText="1"/>
    </xf>
    <xf numFmtId="0" fontId="19" fillId="2" borderId="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mailto:Thoakieu309@gmail.com" TargetMode="External"/><Relationship Id="rId2" Type="http://schemas.openxmlformats.org/officeDocument/2006/relationships/hyperlink" Target="mailto:vietnamnhungchuyendi@gmail.com" TargetMode="External"/><Relationship Id="rId1" Type="http://schemas.openxmlformats.org/officeDocument/2006/relationships/hyperlink" Target="mailto:benphilip11234@gmail.com" TargetMode="External"/><Relationship Id="rId4" Type="http://schemas.openxmlformats.org/officeDocument/2006/relationships/hyperlink" Target="https://github.com/SUMMER2026SE/swp391-rbl-project-team_7-1.git"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stitch.withgoogle.com/projects/12993772099176633908?pli=1" TargetMode="External"/><Relationship Id="rId1" Type="http://schemas.openxmlformats.org/officeDocument/2006/relationships/hyperlink" Target="https://stitch.withgoogle.com/projects/12993772099176633908?pli=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
  <sheetViews>
    <sheetView showGridLines="0" zoomScaleNormal="100" workbookViewId="0"/>
  </sheetViews>
  <sheetFormatPr defaultColWidth="8.5546875" defaultRowHeight="14.4" customHeight="1" x14ac:dyDescent="0.3"/>
  <cols>
    <col min="1" max="1" width="3" style="1" customWidth="1"/>
    <col min="2" max="2" width="28" style="1" customWidth="1"/>
    <col min="3" max="3" width="84.44140625" style="1" customWidth="1"/>
  </cols>
  <sheetData>
    <row r="1" spans="2:3" s="1" customFormat="1" ht="13.5" customHeight="1" x14ac:dyDescent="0.3"/>
    <row r="2" spans="2:3" s="1" customFormat="1" ht="36" customHeight="1" x14ac:dyDescent="0.3">
      <c r="B2" s="17" t="s">
        <v>0</v>
      </c>
      <c r="C2" s="18"/>
    </row>
    <row r="3" spans="2:3" s="1" customFormat="1" ht="18" customHeight="1" x14ac:dyDescent="0.3">
      <c r="B3" s="19" t="s">
        <v>1</v>
      </c>
      <c r="C3" s="18"/>
    </row>
    <row r="5" spans="2:3" s="1" customFormat="1" ht="19.5" customHeight="1" x14ac:dyDescent="0.3">
      <c r="B5" s="20" t="s">
        <v>2</v>
      </c>
      <c r="C5" s="18"/>
    </row>
    <row r="6" spans="2:3" s="1" customFormat="1" ht="24.75" customHeight="1" x14ac:dyDescent="0.3">
      <c r="B6" s="2" t="s">
        <v>3</v>
      </c>
      <c r="C6" s="2" t="s">
        <v>4</v>
      </c>
    </row>
    <row r="7" spans="2:3" s="1" customFormat="1" ht="24.75" customHeight="1" x14ac:dyDescent="0.3">
      <c r="B7" s="2" t="s">
        <v>5</v>
      </c>
      <c r="C7" s="2" t="s">
        <v>6</v>
      </c>
    </row>
    <row r="8" spans="2:3" s="1" customFormat="1" ht="18" customHeight="1" x14ac:dyDescent="0.3">
      <c r="B8" s="2" t="s">
        <v>7</v>
      </c>
      <c r="C8" s="2" t="s">
        <v>8</v>
      </c>
    </row>
    <row r="10" spans="2:3" s="1" customFormat="1" ht="19.5" customHeight="1" x14ac:dyDescent="0.3">
      <c r="B10" s="21" t="s">
        <v>9</v>
      </c>
      <c r="C10" s="18"/>
    </row>
    <row r="11" spans="2:3" x14ac:dyDescent="0.3">
      <c r="B11" s="2" t="s">
        <v>10</v>
      </c>
      <c r="C11" s="2" t="s">
        <v>11</v>
      </c>
    </row>
    <row r="12" spans="2:3" x14ac:dyDescent="0.3">
      <c r="B12" s="2" t="s">
        <v>12</v>
      </c>
      <c r="C12" s="2" t="s">
        <v>13</v>
      </c>
    </row>
    <row r="13" spans="2:3" s="1" customFormat="1" ht="18" customHeight="1" x14ac:dyDescent="0.3">
      <c r="B13" s="2" t="s">
        <v>14</v>
      </c>
      <c r="C13" s="2" t="s">
        <v>15</v>
      </c>
    </row>
    <row r="15" spans="2:3" s="1" customFormat="1" ht="19.5" customHeight="1" x14ac:dyDescent="0.3">
      <c r="B15" s="22" t="s">
        <v>16</v>
      </c>
      <c r="C15" s="18"/>
    </row>
    <row r="16" spans="2:3" s="1" customFormat="1" ht="24.75" customHeight="1" x14ac:dyDescent="0.3">
      <c r="B16" s="2" t="s">
        <v>17</v>
      </c>
      <c r="C16" s="2" t="s">
        <v>18</v>
      </c>
    </row>
    <row r="17" spans="2:3" s="1" customFormat="1" ht="24.75" customHeight="1" x14ac:dyDescent="0.3">
      <c r="B17" s="2" t="s">
        <v>19</v>
      </c>
      <c r="C17" s="2" t="s">
        <v>20</v>
      </c>
    </row>
    <row r="18" spans="2:3" s="1" customFormat="1" ht="24.75" customHeight="1" x14ac:dyDescent="0.3">
      <c r="B18" s="2" t="s">
        <v>21</v>
      </c>
      <c r="C18" s="2" t="s">
        <v>22</v>
      </c>
    </row>
    <row r="19" spans="2:3" s="1" customFormat="1" ht="24.75" customHeight="1" x14ac:dyDescent="0.3">
      <c r="B19" s="2" t="s">
        <v>23</v>
      </c>
      <c r="C19" s="2" t="s">
        <v>24</v>
      </c>
    </row>
    <row r="21" spans="2:3" s="1" customFormat="1" ht="19.5" customHeight="1" x14ac:dyDescent="0.3">
      <c r="B21" s="23" t="s">
        <v>25</v>
      </c>
      <c r="C21" s="18"/>
    </row>
    <row r="22" spans="2:3" x14ac:dyDescent="0.3">
      <c r="B22" s="2" t="s">
        <v>26</v>
      </c>
      <c r="C22" s="2" t="s">
        <v>27</v>
      </c>
    </row>
    <row r="23" spans="2:3" s="1" customFormat="1" ht="24.75" customHeight="1" x14ac:dyDescent="0.3">
      <c r="B23" s="2" t="s">
        <v>28</v>
      </c>
      <c r="C23" s="2" t="s">
        <v>29</v>
      </c>
    </row>
    <row r="24" spans="2:3" s="1" customFormat="1" ht="18" customHeight="1" x14ac:dyDescent="0.3">
      <c r="B24" s="2" t="s">
        <v>30</v>
      </c>
      <c r="C24" s="2" t="s">
        <v>31</v>
      </c>
    </row>
    <row r="25" spans="2:3" s="1" customFormat="1" ht="18" customHeight="1" x14ac:dyDescent="0.3">
      <c r="B25" s="2" t="s">
        <v>32</v>
      </c>
      <c r="C25" s="2" t="s">
        <v>33</v>
      </c>
    </row>
  </sheetData>
  <mergeCells count="6">
    <mergeCell ref="B21:C21"/>
    <mergeCell ref="B2:C2"/>
    <mergeCell ref="B3:C3"/>
    <mergeCell ref="B5:C5"/>
    <mergeCell ref="B10:C10"/>
    <mergeCell ref="B15:C15"/>
  </mergeCells>
  <pageMargins left="0.75" right="0.75" top="1" bottom="1" header="0.511811023622047" footer="0.511811023622047"/>
  <pageSetup paperSize="9" orientation="portrait" useFirstPageNumber="1"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4"/>
  <sheetViews>
    <sheetView showGridLines="0" zoomScaleNormal="100" workbookViewId="0">
      <selection activeCell="H28" sqref="H28"/>
    </sheetView>
  </sheetViews>
  <sheetFormatPr defaultColWidth="8.5546875" defaultRowHeight="14.4" customHeight="1" x14ac:dyDescent="0.3"/>
  <cols>
    <col min="1" max="1" width="3" style="1" customWidth="1"/>
    <col min="2" max="2" width="24" style="1" customWidth="1"/>
    <col min="3" max="3" width="32.88671875" style="1" customWidth="1"/>
    <col min="4" max="4" width="18" style="1" customWidth="1"/>
    <col min="5" max="5" width="33.44140625" style="1" customWidth="1"/>
    <col min="6" max="6" width="18" style="1" customWidth="1"/>
    <col min="7" max="7" width="20" style="1" customWidth="1"/>
  </cols>
  <sheetData>
    <row r="1" spans="2:7" s="1" customFormat="1" ht="13.5" customHeight="1" x14ac:dyDescent="0.3"/>
    <row r="2" spans="2:7" s="1" customFormat="1" ht="36" customHeight="1" x14ac:dyDescent="0.3">
      <c r="B2" s="24" t="s">
        <v>34</v>
      </c>
      <c r="C2" s="25"/>
      <c r="D2" s="25"/>
      <c r="E2" s="25"/>
      <c r="F2" s="25"/>
      <c r="G2" s="18"/>
    </row>
    <row r="3" spans="2:7" s="1" customFormat="1" ht="19.5" customHeight="1" x14ac:dyDescent="0.3">
      <c r="B3" s="21" t="s">
        <v>35</v>
      </c>
      <c r="C3" s="25"/>
      <c r="D3" s="25"/>
      <c r="E3" s="25"/>
      <c r="F3" s="25"/>
      <c r="G3" s="18"/>
    </row>
    <row r="4" spans="2:7" s="1" customFormat="1" ht="18" customHeight="1" x14ac:dyDescent="0.3">
      <c r="B4" s="3" t="s">
        <v>36</v>
      </c>
      <c r="C4" s="26" t="s">
        <v>37</v>
      </c>
      <c r="D4" s="25"/>
      <c r="E4" s="25"/>
      <c r="F4" s="25"/>
      <c r="G4" s="25"/>
    </row>
    <row r="5" spans="2:7" s="1" customFormat="1" ht="18" customHeight="1" x14ac:dyDescent="0.3">
      <c r="B5" s="3" t="s">
        <v>38</v>
      </c>
      <c r="C5" s="26" t="s">
        <v>39</v>
      </c>
      <c r="D5" s="25"/>
      <c r="E5" s="25"/>
      <c r="F5" s="25"/>
      <c r="G5" s="25"/>
    </row>
    <row r="6" spans="2:7" s="1" customFormat="1" ht="18" customHeight="1" x14ac:dyDescent="0.3">
      <c r="B6" s="3" t="s">
        <v>40</v>
      </c>
      <c r="C6" s="26" t="s">
        <v>41</v>
      </c>
      <c r="D6" s="25"/>
      <c r="E6" s="25"/>
      <c r="F6" s="25"/>
      <c r="G6" s="25"/>
    </row>
    <row r="7" spans="2:7" s="1" customFormat="1" ht="18" customHeight="1" x14ac:dyDescent="0.3">
      <c r="B7" s="3" t="s">
        <v>42</v>
      </c>
      <c r="C7" s="26" t="s">
        <v>43</v>
      </c>
      <c r="D7" s="25"/>
      <c r="E7" s="25"/>
      <c r="F7" s="25"/>
      <c r="G7" s="25"/>
    </row>
    <row r="8" spans="2:7" s="1" customFormat="1" ht="18" customHeight="1" x14ac:dyDescent="0.3">
      <c r="B8" s="3" t="s">
        <v>44</v>
      </c>
      <c r="C8" s="26">
        <v>3</v>
      </c>
      <c r="D8" s="25"/>
      <c r="E8" s="25"/>
      <c r="F8" s="25"/>
      <c r="G8" s="25"/>
    </row>
    <row r="10" spans="2:7" s="1" customFormat="1" ht="19.5" customHeight="1" x14ac:dyDescent="0.3">
      <c r="B10" s="21" t="s">
        <v>45</v>
      </c>
      <c r="C10" s="25"/>
      <c r="D10" s="25"/>
      <c r="E10" s="25"/>
      <c r="F10" s="25"/>
      <c r="G10" s="18"/>
    </row>
    <row r="11" spans="2:7" x14ac:dyDescent="0.3">
      <c r="B11" s="4" t="s">
        <v>46</v>
      </c>
      <c r="C11" s="4" t="s">
        <v>47</v>
      </c>
      <c r="D11" s="4" t="s">
        <v>48</v>
      </c>
      <c r="E11" s="4" t="s">
        <v>49</v>
      </c>
      <c r="F11" s="4" t="s">
        <v>50</v>
      </c>
      <c r="G11" s="4" t="s">
        <v>51</v>
      </c>
    </row>
    <row r="12" spans="2:7" s="1" customFormat="1" ht="18" customHeight="1" x14ac:dyDescent="0.3">
      <c r="B12" s="5" t="s">
        <v>52</v>
      </c>
      <c r="C12" s="2" t="s">
        <v>53</v>
      </c>
      <c r="D12" s="2" t="s">
        <v>54</v>
      </c>
      <c r="E12" s="6" t="s">
        <v>55</v>
      </c>
      <c r="F12" s="2" t="s">
        <v>56</v>
      </c>
      <c r="G12" s="2"/>
    </row>
    <row r="13" spans="2:7" s="1" customFormat="1" ht="18" customHeight="1" x14ac:dyDescent="0.3">
      <c r="B13" s="5" t="s">
        <v>57</v>
      </c>
      <c r="C13" s="2" t="s">
        <v>58</v>
      </c>
      <c r="D13" s="2" t="s">
        <v>59</v>
      </c>
      <c r="E13" s="6" t="s">
        <v>60</v>
      </c>
      <c r="F13" s="2" t="s">
        <v>61</v>
      </c>
      <c r="G13" s="2"/>
    </row>
    <row r="14" spans="2:7" s="1" customFormat="1" ht="18" customHeight="1" x14ac:dyDescent="0.3">
      <c r="B14" s="5" t="s">
        <v>62</v>
      </c>
      <c r="C14" s="2" t="s">
        <v>63</v>
      </c>
      <c r="D14" s="2" t="s">
        <v>64</v>
      </c>
      <c r="E14" s="6" t="s">
        <v>65</v>
      </c>
      <c r="F14" s="2" t="s">
        <v>61</v>
      </c>
      <c r="G14" s="2"/>
    </row>
    <row r="15" spans="2:7" s="1" customFormat="1" ht="18" customHeight="1" x14ac:dyDescent="0.3">
      <c r="B15" s="5" t="s">
        <v>66</v>
      </c>
      <c r="C15" s="2"/>
      <c r="D15" s="2"/>
      <c r="E15" s="2"/>
      <c r="F15" s="2" t="s">
        <v>61</v>
      </c>
      <c r="G15" s="2"/>
    </row>
    <row r="16" spans="2:7" s="1" customFormat="1" ht="18" customHeight="1" x14ac:dyDescent="0.3">
      <c r="B16" s="5" t="s">
        <v>67</v>
      </c>
      <c r="C16" s="2"/>
      <c r="D16" s="2"/>
      <c r="E16" s="2"/>
      <c r="F16" s="2" t="s">
        <v>61</v>
      </c>
      <c r="G16" s="2"/>
    </row>
    <row r="18" spans="2:7" s="1" customFormat="1" ht="19.5" customHeight="1" x14ac:dyDescent="0.3">
      <c r="B18" s="23" t="s">
        <v>68</v>
      </c>
      <c r="C18" s="25"/>
      <c r="D18" s="25"/>
      <c r="E18" s="25"/>
      <c r="F18" s="25"/>
      <c r="G18" s="18"/>
    </row>
    <row r="19" spans="2:7" s="1" customFormat="1" ht="19.5" customHeight="1" x14ac:dyDescent="0.3">
      <c r="B19" s="7" t="s">
        <v>69</v>
      </c>
      <c r="C19" s="26" t="s">
        <v>70</v>
      </c>
      <c r="D19" s="25"/>
      <c r="E19" s="25"/>
      <c r="F19" s="25"/>
      <c r="G19" s="25"/>
    </row>
    <row r="20" spans="2:7" s="1" customFormat="1" ht="57" customHeight="1" x14ac:dyDescent="0.3">
      <c r="B20" s="7" t="s">
        <v>71</v>
      </c>
      <c r="C20" s="26" t="s">
        <v>72</v>
      </c>
      <c r="D20" s="25"/>
      <c r="E20" s="25"/>
      <c r="F20" s="25"/>
      <c r="G20" s="25"/>
    </row>
    <row r="21" spans="2:7" s="1" customFormat="1" ht="65.25" customHeight="1" x14ac:dyDescent="0.3">
      <c r="B21" s="7" t="s">
        <v>73</v>
      </c>
      <c r="C21" s="26" t="s">
        <v>74</v>
      </c>
      <c r="D21" s="25"/>
      <c r="E21" s="25"/>
      <c r="F21" s="25"/>
      <c r="G21" s="25"/>
    </row>
    <row r="22" spans="2:7" s="1" customFormat="1" ht="19.5" customHeight="1" x14ac:dyDescent="0.3">
      <c r="B22" s="7" t="s">
        <v>75</v>
      </c>
      <c r="C22" s="27" t="s">
        <v>76</v>
      </c>
      <c r="D22" s="25"/>
      <c r="E22" s="25"/>
      <c r="F22" s="25"/>
      <c r="G22" s="25"/>
    </row>
    <row r="23" spans="2:7" s="1" customFormat="1" ht="19.5" customHeight="1" x14ac:dyDescent="0.3">
      <c r="B23" s="7" t="s">
        <v>77</v>
      </c>
      <c r="C23" s="3"/>
      <c r="D23" s="8"/>
      <c r="E23" s="8"/>
      <c r="F23" s="8"/>
      <c r="G23" s="8"/>
    </row>
    <row r="24" spans="2:7" s="1" customFormat="1" ht="19.5" customHeight="1" x14ac:dyDescent="0.3">
      <c r="B24" s="7" t="s">
        <v>78</v>
      </c>
      <c r="C24" s="26"/>
      <c r="D24" s="25"/>
      <c r="E24" s="25"/>
      <c r="F24" s="25"/>
      <c r="G24" s="25"/>
    </row>
  </sheetData>
  <mergeCells count="14">
    <mergeCell ref="C20:G20"/>
    <mergeCell ref="C21:G21"/>
    <mergeCell ref="C22:G22"/>
    <mergeCell ref="C24:G24"/>
    <mergeCell ref="C7:G7"/>
    <mergeCell ref="C8:G8"/>
    <mergeCell ref="B10:G10"/>
    <mergeCell ref="B18:G18"/>
    <mergeCell ref="C19:G19"/>
    <mergeCell ref="B2:G2"/>
    <mergeCell ref="B3:G3"/>
    <mergeCell ref="C4:G4"/>
    <mergeCell ref="C5:G5"/>
    <mergeCell ref="C6:G6"/>
  </mergeCells>
  <hyperlinks>
    <hyperlink ref="E12" r:id="rId1" xr:uid="{00000000-0004-0000-0100-000000000000}"/>
    <hyperlink ref="E13" r:id="rId2" xr:uid="{00000000-0004-0000-0100-000001000000}"/>
    <hyperlink ref="E14" r:id="rId3" xr:uid="{00000000-0004-0000-0100-000002000000}"/>
    <hyperlink ref="C22" r:id="rId4" xr:uid="{00000000-0004-0000-0100-000003000000}"/>
  </hyperlinks>
  <pageMargins left="0.75" right="0.75" top="1" bottom="1" header="0.511811023622047" footer="0.511811023622047"/>
  <pageSetup paperSize="9" orientation="portrait" useFirstPageNumber="1"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4"/>
  <sheetViews>
    <sheetView showGridLines="0" topLeftCell="A33" zoomScaleNormal="100" workbookViewId="0">
      <selection activeCell="E51" sqref="E51:I51"/>
    </sheetView>
  </sheetViews>
  <sheetFormatPr defaultColWidth="8.5546875" defaultRowHeight="14.4" customHeight="1" x14ac:dyDescent="0.3"/>
  <cols>
    <col min="1" max="1" width="3" style="1" customWidth="1"/>
    <col min="2" max="2" width="12" style="1" customWidth="1"/>
    <col min="3" max="3" width="6" style="1" customWidth="1"/>
    <col min="4" max="4" width="12.6640625" style="1" customWidth="1"/>
    <col min="5" max="5" width="32" style="1" customWidth="1"/>
    <col min="6" max="6" width="20" style="1" customWidth="1"/>
    <col min="7" max="7" width="12" style="1" customWidth="1"/>
    <col min="8" max="8" width="28" style="1" customWidth="1"/>
    <col min="9" max="9" width="22" style="1" customWidth="1"/>
  </cols>
  <sheetData>
    <row r="1" spans="2:9" s="1" customFormat="1" ht="13.5" customHeight="1" x14ac:dyDescent="0.3"/>
    <row r="2" spans="2:9" s="1" customFormat="1" ht="33.75" customHeight="1" x14ac:dyDescent="0.3">
      <c r="B2" s="28" t="s">
        <v>79</v>
      </c>
      <c r="C2" s="25"/>
      <c r="D2" s="25"/>
      <c r="E2" s="25"/>
      <c r="F2" s="25"/>
      <c r="G2" s="25"/>
      <c r="H2" s="25"/>
      <c r="I2" s="18"/>
    </row>
    <row r="3" spans="2:9" s="1" customFormat="1" ht="15.75" customHeight="1" x14ac:dyDescent="0.3">
      <c r="B3" s="29" t="s">
        <v>80</v>
      </c>
      <c r="C3" s="30"/>
      <c r="D3" s="30"/>
      <c r="E3" s="30"/>
      <c r="F3" s="30"/>
      <c r="G3" s="30"/>
      <c r="H3" s="30"/>
      <c r="I3" s="30"/>
    </row>
    <row r="5" spans="2:9" s="1" customFormat="1" ht="21.75" customHeight="1" x14ac:dyDescent="0.3">
      <c r="B5" s="21" t="s">
        <v>81</v>
      </c>
      <c r="C5" s="25"/>
      <c r="D5" s="25"/>
      <c r="E5" s="25"/>
      <c r="F5" s="25"/>
      <c r="G5" s="25"/>
      <c r="H5" s="25"/>
      <c r="I5" s="18"/>
    </row>
    <row r="6" spans="2:9" s="1" customFormat="1" ht="13.5" customHeight="1" x14ac:dyDescent="0.3">
      <c r="B6" s="31" t="s">
        <v>82</v>
      </c>
      <c r="C6" s="30"/>
      <c r="D6" s="30"/>
      <c r="E6" s="30"/>
      <c r="F6" s="30"/>
      <c r="G6" s="30"/>
      <c r="H6" s="30"/>
      <c r="I6" s="30"/>
    </row>
    <row r="7" spans="2:9" s="1" customFormat="1" ht="19.5" customHeight="1" x14ac:dyDescent="0.3">
      <c r="B7" s="4" t="s">
        <v>83</v>
      </c>
      <c r="C7" s="4" t="s">
        <v>84</v>
      </c>
      <c r="D7" s="4" t="s">
        <v>85</v>
      </c>
      <c r="E7" s="4" t="s">
        <v>86</v>
      </c>
      <c r="F7" s="4" t="s">
        <v>87</v>
      </c>
      <c r="G7" s="4" t="s">
        <v>88</v>
      </c>
      <c r="H7" s="4" t="s">
        <v>89</v>
      </c>
      <c r="I7" s="4" t="s">
        <v>90</v>
      </c>
    </row>
    <row r="8" spans="2:9" s="1" customFormat="1" ht="18" customHeight="1" x14ac:dyDescent="0.3">
      <c r="B8" s="2" t="s">
        <v>91</v>
      </c>
      <c r="C8" s="2" t="s">
        <v>52</v>
      </c>
      <c r="D8" s="9" t="s">
        <v>92</v>
      </c>
      <c r="E8" s="2" t="s">
        <v>93</v>
      </c>
      <c r="F8" s="2" t="s">
        <v>94</v>
      </c>
      <c r="G8" s="2" t="s">
        <v>95</v>
      </c>
      <c r="H8" s="2" t="s">
        <v>96</v>
      </c>
      <c r="I8" s="2" t="s">
        <v>97</v>
      </c>
    </row>
    <row r="9" spans="2:9" s="1" customFormat="1" ht="18" customHeight="1" x14ac:dyDescent="0.3">
      <c r="B9" s="2" t="s">
        <v>91</v>
      </c>
      <c r="C9" s="2" t="s">
        <v>52</v>
      </c>
      <c r="D9" s="9" t="s">
        <v>92</v>
      </c>
      <c r="E9" s="2" t="s">
        <v>98</v>
      </c>
      <c r="F9" s="2" t="s">
        <v>99</v>
      </c>
      <c r="G9" s="2" t="s">
        <v>100</v>
      </c>
      <c r="H9" s="2" t="s">
        <v>101</v>
      </c>
      <c r="I9" s="2" t="s">
        <v>102</v>
      </c>
    </row>
    <row r="10" spans="2:9" s="1" customFormat="1" ht="18" customHeight="1" x14ac:dyDescent="0.3">
      <c r="B10" s="10" t="s">
        <v>91</v>
      </c>
      <c r="C10" s="2" t="s">
        <v>52</v>
      </c>
      <c r="D10" s="9" t="s">
        <v>92</v>
      </c>
      <c r="E10" s="2" t="s">
        <v>103</v>
      </c>
      <c r="F10" s="2" t="s">
        <v>104</v>
      </c>
      <c r="G10" s="2" t="s">
        <v>105</v>
      </c>
      <c r="H10" s="2" t="s">
        <v>106</v>
      </c>
      <c r="I10" s="2" t="s">
        <v>107</v>
      </c>
    </row>
    <row r="11" spans="2:9" s="1" customFormat="1" ht="18" customHeight="1" x14ac:dyDescent="0.3">
      <c r="B11" s="10" t="s">
        <v>91</v>
      </c>
      <c r="C11" s="9" t="s">
        <v>57</v>
      </c>
      <c r="D11" s="9" t="s">
        <v>108</v>
      </c>
      <c r="E11" t="s">
        <v>109</v>
      </c>
      <c r="F11" s="9" t="s">
        <v>110</v>
      </c>
      <c r="G11" t="s">
        <v>95</v>
      </c>
      <c r="H11" s="9" t="s">
        <v>111</v>
      </c>
      <c r="I11" s="2" t="s">
        <v>112</v>
      </c>
    </row>
    <row r="12" spans="2:9" s="1" customFormat="1" ht="18" customHeight="1" x14ac:dyDescent="0.3">
      <c r="B12" s="10" t="s">
        <v>91</v>
      </c>
      <c r="C12" s="2" t="s">
        <v>62</v>
      </c>
      <c r="D12" s="2" t="s">
        <v>113</v>
      </c>
      <c r="E12" s="2" t="s">
        <v>114</v>
      </c>
      <c r="F12" s="2" t="s">
        <v>115</v>
      </c>
      <c r="G12" s="2" t="s">
        <v>100</v>
      </c>
      <c r="H12" s="2" t="s">
        <v>116</v>
      </c>
      <c r="I12" s="2" t="s">
        <v>117</v>
      </c>
    </row>
    <row r="13" spans="2:9" s="1" customFormat="1" ht="18" customHeight="1" x14ac:dyDescent="0.3">
      <c r="B13" s="10" t="s">
        <v>91</v>
      </c>
      <c r="C13" s="2" t="s">
        <v>62</v>
      </c>
      <c r="D13" s="2" t="s">
        <v>113</v>
      </c>
      <c r="E13" s="2" t="s">
        <v>118</v>
      </c>
      <c r="F13" s="2" t="s">
        <v>119</v>
      </c>
      <c r="G13" s="2" t="s">
        <v>105</v>
      </c>
      <c r="H13" s="2" t="s">
        <v>120</v>
      </c>
      <c r="I13" s="2" t="s">
        <v>121</v>
      </c>
    </row>
    <row r="14" spans="2:9" s="1" customFormat="1" ht="18" customHeight="1" x14ac:dyDescent="0.3">
      <c r="B14" s="10">
        <v>46196</v>
      </c>
      <c r="C14" s="2" t="s">
        <v>62</v>
      </c>
      <c r="D14" s="2" t="s">
        <v>92</v>
      </c>
      <c r="E14" s="2" t="s">
        <v>122</v>
      </c>
      <c r="F14" s="2" t="s">
        <v>123</v>
      </c>
      <c r="G14" s="2" t="s">
        <v>95</v>
      </c>
      <c r="H14" s="2" t="s">
        <v>124</v>
      </c>
      <c r="I14" s="2" t="s">
        <v>125</v>
      </c>
    </row>
    <row r="15" spans="2:9" s="1" customFormat="1" ht="18" customHeight="1" x14ac:dyDescent="0.3">
      <c r="B15" s="10">
        <v>46196</v>
      </c>
      <c r="C15" s="2" t="s">
        <v>62</v>
      </c>
      <c r="D15" s="2" t="s">
        <v>92</v>
      </c>
      <c r="E15" s="2" t="s">
        <v>126</v>
      </c>
      <c r="F15" s="2" t="s">
        <v>127</v>
      </c>
      <c r="G15" s="2" t="s">
        <v>95</v>
      </c>
      <c r="H15" s="2" t="s">
        <v>128</v>
      </c>
      <c r="I15" s="2" t="s">
        <v>129</v>
      </c>
    </row>
    <row r="17" spans="2:9" s="1" customFormat="1" ht="21.75" customHeight="1" x14ac:dyDescent="0.3">
      <c r="B17" s="23" t="s">
        <v>130</v>
      </c>
      <c r="C17" s="25"/>
      <c r="D17" s="25"/>
      <c r="E17" s="25"/>
      <c r="F17" s="25"/>
      <c r="G17" s="25"/>
      <c r="H17" s="25"/>
      <c r="I17" s="18"/>
    </row>
    <row r="18" spans="2:9" s="1" customFormat="1" ht="13.5" customHeight="1" x14ac:dyDescent="0.3">
      <c r="B18" s="31" t="s">
        <v>31</v>
      </c>
      <c r="C18" s="30"/>
      <c r="D18" s="30"/>
      <c r="E18" s="30"/>
      <c r="F18" s="30"/>
      <c r="G18" s="30"/>
      <c r="H18" s="30"/>
      <c r="I18" s="30"/>
    </row>
    <row r="19" spans="2:9" s="1" customFormat="1" ht="19.5" customHeight="1" x14ac:dyDescent="0.3">
      <c r="B19" s="11" t="s">
        <v>131</v>
      </c>
      <c r="C19" s="11" t="s">
        <v>84</v>
      </c>
      <c r="D19" s="32" t="s">
        <v>132</v>
      </c>
      <c r="E19" s="25"/>
      <c r="F19" s="18"/>
      <c r="G19" s="32" t="s">
        <v>133</v>
      </c>
      <c r="H19" s="18"/>
      <c r="I19" s="11" t="s">
        <v>51</v>
      </c>
    </row>
    <row r="20" spans="2:9" s="1" customFormat="1" ht="15.75" customHeight="1" x14ac:dyDescent="0.3">
      <c r="B20" s="33" t="s">
        <v>134</v>
      </c>
      <c r="C20" s="25"/>
      <c r="D20" s="25"/>
      <c r="E20" s="25"/>
      <c r="F20" s="25"/>
      <c r="G20" s="25"/>
      <c r="H20" s="25"/>
      <c r="I20" s="18"/>
    </row>
    <row r="21" spans="2:9" s="1" customFormat="1" ht="18" customHeight="1" x14ac:dyDescent="0.3">
      <c r="B21" s="2"/>
      <c r="C21" s="2" t="s">
        <v>52</v>
      </c>
      <c r="D21" s="2" t="s">
        <v>135</v>
      </c>
      <c r="E21" s="2" t="s">
        <v>136</v>
      </c>
      <c r="F21" s="2"/>
      <c r="G21" s="2" t="s">
        <v>94</v>
      </c>
      <c r="H21" s="2"/>
      <c r="I21" s="2" t="s">
        <v>137</v>
      </c>
    </row>
    <row r="22" spans="2:9" s="1" customFormat="1" ht="18" customHeight="1" x14ac:dyDescent="0.3">
      <c r="B22" s="2"/>
      <c r="C22" s="9" t="s">
        <v>57</v>
      </c>
      <c r="D22" s="2" t="s">
        <v>138</v>
      </c>
      <c r="E22" s="2"/>
      <c r="F22" s="2"/>
      <c r="G22" s="2" t="s">
        <v>139</v>
      </c>
      <c r="H22" s="2"/>
      <c r="I22" s="2" t="s">
        <v>140</v>
      </c>
    </row>
    <row r="23" spans="2:9" s="1" customFormat="1" ht="18" customHeight="1" x14ac:dyDescent="0.3">
      <c r="B23" s="2"/>
      <c r="C23" s="2" t="s">
        <v>62</v>
      </c>
      <c r="D23" s="2" t="s">
        <v>141</v>
      </c>
      <c r="E23" s="2"/>
      <c r="F23" s="2"/>
      <c r="G23" s="2" t="s">
        <v>142</v>
      </c>
      <c r="H23" s="2"/>
      <c r="I23" s="2" t="s">
        <v>143</v>
      </c>
    </row>
    <row r="24" spans="2:9" s="1" customFormat="1" ht="15.75" customHeight="1" x14ac:dyDescent="0.3">
      <c r="B24" s="33" t="s">
        <v>144</v>
      </c>
      <c r="C24" s="25"/>
      <c r="D24" s="25"/>
      <c r="E24" s="25"/>
      <c r="F24" s="25"/>
      <c r="G24" s="25"/>
      <c r="H24" s="25"/>
      <c r="I24" s="18"/>
    </row>
    <row r="25" spans="2:9" s="1" customFormat="1" ht="18" customHeight="1" x14ac:dyDescent="0.3">
      <c r="B25" s="2"/>
      <c r="C25" s="2" t="s">
        <v>52</v>
      </c>
      <c r="D25" s="2" t="s">
        <v>145</v>
      </c>
      <c r="E25" s="2" t="s">
        <v>146</v>
      </c>
      <c r="F25" s="2"/>
      <c r="G25" s="2" t="s">
        <v>147</v>
      </c>
      <c r="H25" s="2"/>
      <c r="I25" s="2" t="s">
        <v>148</v>
      </c>
    </row>
    <row r="26" spans="2:9" s="1" customFormat="1" ht="18" customHeight="1" x14ac:dyDescent="0.3">
      <c r="B26" s="2"/>
      <c r="C26" s="9" t="s">
        <v>57</v>
      </c>
      <c r="D26" s="9" t="s">
        <v>149</v>
      </c>
      <c r="E26" s="2"/>
      <c r="F26" s="2"/>
      <c r="G26" s="9" t="s">
        <v>150</v>
      </c>
      <c r="H26" s="2"/>
      <c r="I26" s="9" t="s">
        <v>151</v>
      </c>
    </row>
    <row r="27" spans="2:9" s="1" customFormat="1" ht="18" customHeight="1" x14ac:dyDescent="0.3">
      <c r="B27" s="2"/>
      <c r="C27" s="2" t="s">
        <v>62</v>
      </c>
      <c r="D27" s="2" t="s">
        <v>152</v>
      </c>
      <c r="E27" s="2"/>
      <c r="F27" s="2"/>
      <c r="G27" s="2" t="s">
        <v>147</v>
      </c>
      <c r="H27" s="2"/>
      <c r="I27" s="2" t="s">
        <v>153</v>
      </c>
    </row>
    <row r="28" spans="2:9" s="1" customFormat="1" ht="15.75" customHeight="1" x14ac:dyDescent="0.3">
      <c r="B28" s="33" t="s">
        <v>154</v>
      </c>
      <c r="C28" s="25"/>
      <c r="D28" s="25"/>
      <c r="E28" s="25"/>
      <c r="F28" s="25"/>
      <c r="G28" s="25"/>
      <c r="H28" s="25"/>
      <c r="I28" s="18"/>
    </row>
    <row r="29" spans="2:9" s="1" customFormat="1" ht="18" customHeight="1" x14ac:dyDescent="0.3">
      <c r="B29" s="2"/>
      <c r="C29" s="2" t="s">
        <v>52</v>
      </c>
      <c r="D29" s="2"/>
      <c r="E29" s="2" t="s">
        <v>155</v>
      </c>
      <c r="F29" s="2"/>
      <c r="G29" s="2"/>
      <c r="H29" s="2"/>
      <c r="I29" s="2"/>
    </row>
    <row r="30" spans="2:9" s="1" customFormat="1" ht="18" customHeight="1" x14ac:dyDescent="0.3">
      <c r="B30" s="2"/>
      <c r="C30" s="2"/>
      <c r="D30" s="2"/>
      <c r="E30" s="2"/>
      <c r="F30" s="2"/>
      <c r="G30" s="2"/>
      <c r="H30" s="2"/>
      <c r="I30" s="2"/>
    </row>
    <row r="31" spans="2:9" s="1" customFormat="1" ht="18" customHeight="1" x14ac:dyDescent="0.3">
      <c r="B31" s="2"/>
      <c r="C31" s="2"/>
      <c r="D31" s="2"/>
      <c r="E31" s="2"/>
      <c r="F31" s="2"/>
      <c r="G31" s="2"/>
      <c r="H31" s="2"/>
      <c r="I31" s="2"/>
    </row>
    <row r="32" spans="2:9" s="1" customFormat="1" ht="15.75" customHeight="1" x14ac:dyDescent="0.3">
      <c r="B32" s="33" t="s">
        <v>156</v>
      </c>
      <c r="C32" s="25"/>
      <c r="D32" s="25"/>
      <c r="E32" s="25"/>
      <c r="F32" s="25"/>
      <c r="G32" s="25"/>
      <c r="H32" s="25"/>
      <c r="I32" s="18"/>
    </row>
    <row r="33" spans="2:9" s="1" customFormat="1" ht="18" customHeight="1" x14ac:dyDescent="0.3">
      <c r="B33" s="2"/>
      <c r="C33" s="2"/>
      <c r="D33" s="2"/>
      <c r="E33" s="2"/>
      <c r="F33" s="2"/>
      <c r="G33" s="2"/>
      <c r="H33" s="2"/>
      <c r="I33" s="2"/>
    </row>
    <row r="34" spans="2:9" s="1" customFormat="1" ht="18" customHeight="1" x14ac:dyDescent="0.3">
      <c r="B34" s="2"/>
      <c r="C34" s="2"/>
      <c r="D34" s="2"/>
      <c r="E34" s="2"/>
      <c r="F34" s="2"/>
      <c r="G34" s="2"/>
      <c r="H34" s="2"/>
      <c r="I34" s="2"/>
    </row>
    <row r="35" spans="2:9" s="1" customFormat="1" ht="18" customHeight="1" x14ac:dyDescent="0.3">
      <c r="B35" s="2"/>
      <c r="C35" s="2"/>
      <c r="D35" s="2"/>
      <c r="E35" s="2"/>
      <c r="F35" s="2"/>
      <c r="G35" s="2"/>
      <c r="H35" s="2"/>
      <c r="I35" s="2"/>
    </row>
    <row r="37" spans="2:9" s="1" customFormat="1" ht="21.75" customHeight="1" x14ac:dyDescent="0.3">
      <c r="B37" s="22" t="s">
        <v>157</v>
      </c>
      <c r="C37" s="25"/>
      <c r="D37" s="25"/>
      <c r="E37" s="25"/>
      <c r="F37" s="25"/>
      <c r="G37" s="25"/>
      <c r="H37" s="25"/>
      <c r="I37" s="18"/>
    </row>
    <row r="38" spans="2:9" s="1" customFormat="1" ht="13.5" customHeight="1" x14ac:dyDescent="0.3">
      <c r="B38" s="31" t="s">
        <v>158</v>
      </c>
      <c r="C38" s="30"/>
      <c r="D38" s="30"/>
      <c r="E38" s="30"/>
      <c r="F38" s="30"/>
      <c r="G38" s="30"/>
      <c r="H38" s="30"/>
      <c r="I38" s="30"/>
    </row>
    <row r="39" spans="2:9" s="1" customFormat="1" ht="19.5" customHeight="1" x14ac:dyDescent="0.3">
      <c r="B39" s="12" t="s">
        <v>159</v>
      </c>
      <c r="C39" s="12" t="s">
        <v>160</v>
      </c>
      <c r="D39" s="12" t="s">
        <v>161</v>
      </c>
      <c r="E39" s="34" t="s">
        <v>162</v>
      </c>
      <c r="F39" s="25"/>
      <c r="G39" s="25"/>
      <c r="H39" s="25"/>
      <c r="I39" s="18"/>
    </row>
    <row r="40" spans="2:9" s="1" customFormat="1" ht="21.75" customHeight="1" x14ac:dyDescent="0.3">
      <c r="B40" s="35" t="s">
        <v>163</v>
      </c>
      <c r="C40" s="25"/>
      <c r="D40" s="18"/>
      <c r="E40" s="36" t="s">
        <v>164</v>
      </c>
      <c r="F40" s="25"/>
      <c r="G40" s="25"/>
      <c r="H40" s="25"/>
      <c r="I40" s="18"/>
    </row>
    <row r="41" spans="2:9" s="1" customFormat="1" ht="21.75" customHeight="1" x14ac:dyDescent="0.3">
      <c r="B41" s="37" t="s">
        <v>165</v>
      </c>
      <c r="C41" s="25"/>
      <c r="D41" s="18"/>
      <c r="E41" s="36" t="s">
        <v>166</v>
      </c>
      <c r="F41" s="25"/>
      <c r="G41" s="25"/>
      <c r="H41" s="25"/>
      <c r="I41" s="18"/>
    </row>
    <row r="42" spans="2:9" s="1" customFormat="1" ht="21.75" customHeight="1" x14ac:dyDescent="0.3">
      <c r="B42" s="37" t="s">
        <v>167</v>
      </c>
      <c r="C42" s="25"/>
      <c r="D42" s="18"/>
      <c r="E42" s="36" t="s">
        <v>168</v>
      </c>
      <c r="F42" s="25"/>
      <c r="G42" s="25"/>
      <c r="H42" s="25"/>
      <c r="I42" s="18"/>
    </row>
    <row r="43" spans="2:9" s="1" customFormat="1" ht="21.75" customHeight="1" x14ac:dyDescent="0.3">
      <c r="B43" s="37" t="s">
        <v>169</v>
      </c>
      <c r="C43" s="25"/>
      <c r="D43" s="18"/>
      <c r="E43" s="36" t="s">
        <v>170</v>
      </c>
      <c r="F43" s="25"/>
      <c r="G43" s="25"/>
      <c r="H43" s="25"/>
      <c r="I43" s="18"/>
    </row>
    <row r="44" spans="2:9" s="1" customFormat="1" ht="21.75" customHeight="1" x14ac:dyDescent="0.3">
      <c r="B44" s="38" t="s">
        <v>171</v>
      </c>
      <c r="C44" s="25"/>
      <c r="D44" s="18"/>
      <c r="E44" s="39" t="s">
        <v>172</v>
      </c>
      <c r="F44" s="25"/>
      <c r="G44" s="25"/>
      <c r="H44" s="25"/>
      <c r="I44" s="18"/>
    </row>
    <row r="45" spans="2:9" s="1" customFormat="1" ht="21.75" customHeight="1" x14ac:dyDescent="0.3">
      <c r="B45" s="37" t="s">
        <v>165</v>
      </c>
      <c r="C45" s="25"/>
      <c r="D45" s="18"/>
      <c r="E45" s="39" t="s">
        <v>173</v>
      </c>
      <c r="F45" s="25"/>
      <c r="G45" s="25"/>
      <c r="H45" s="25"/>
      <c r="I45" s="18"/>
    </row>
    <row r="46" spans="2:9" s="1" customFormat="1" ht="21.75" customHeight="1" x14ac:dyDescent="0.3">
      <c r="B46" s="37" t="s">
        <v>167</v>
      </c>
      <c r="C46" s="25"/>
      <c r="D46" s="18"/>
      <c r="E46" s="39" t="s">
        <v>174</v>
      </c>
      <c r="F46" s="25"/>
      <c r="G46" s="25"/>
      <c r="H46" s="25"/>
      <c r="I46" s="18"/>
    </row>
    <row r="47" spans="2:9" s="1" customFormat="1" ht="21.75" customHeight="1" x14ac:dyDescent="0.3">
      <c r="B47" s="37" t="s">
        <v>169</v>
      </c>
      <c r="C47" s="25"/>
      <c r="D47" s="18"/>
      <c r="E47" s="39" t="s">
        <v>175</v>
      </c>
      <c r="F47" s="25"/>
      <c r="G47" s="25"/>
      <c r="H47" s="25"/>
      <c r="I47" s="18"/>
    </row>
    <row r="48" spans="2:9" s="1" customFormat="1" ht="21.75" customHeight="1" x14ac:dyDescent="0.3">
      <c r="B48" s="35" t="s">
        <v>176</v>
      </c>
      <c r="C48" s="25"/>
      <c r="D48" s="18"/>
      <c r="E48" s="36" t="s">
        <v>177</v>
      </c>
      <c r="F48" s="25"/>
      <c r="G48" s="25"/>
      <c r="H48" s="25"/>
      <c r="I48" s="18"/>
    </row>
    <row r="49" spans="2:9" s="1" customFormat="1" ht="21.75" customHeight="1" x14ac:dyDescent="0.3">
      <c r="B49" s="37" t="s">
        <v>165</v>
      </c>
      <c r="C49" s="25"/>
      <c r="D49" s="18"/>
      <c r="E49" s="36" t="s">
        <v>178</v>
      </c>
      <c r="F49" s="25"/>
      <c r="G49" s="25"/>
      <c r="H49" s="25"/>
      <c r="I49" s="18"/>
    </row>
    <row r="50" spans="2:9" s="1" customFormat="1" ht="21.75" customHeight="1" x14ac:dyDescent="0.3">
      <c r="B50" s="37" t="s">
        <v>167</v>
      </c>
      <c r="C50" s="25"/>
      <c r="D50" s="18"/>
      <c r="E50" s="36" t="s">
        <v>179</v>
      </c>
      <c r="F50" s="25"/>
      <c r="G50" s="25"/>
      <c r="H50" s="25"/>
      <c r="I50" s="18"/>
    </row>
    <row r="51" spans="2:9" s="1" customFormat="1" ht="21.75" customHeight="1" x14ac:dyDescent="0.3">
      <c r="B51" s="37" t="s">
        <v>169</v>
      </c>
      <c r="C51" s="25"/>
      <c r="D51" s="18"/>
      <c r="E51" s="36" t="s">
        <v>180</v>
      </c>
      <c r="F51" s="25"/>
      <c r="G51" s="25"/>
      <c r="H51" s="25"/>
      <c r="I51" s="18"/>
    </row>
    <row r="52" spans="2:9" s="1" customFormat="1" ht="21.75" customHeight="1" x14ac:dyDescent="0.3">
      <c r="B52" s="35" t="s">
        <v>181</v>
      </c>
      <c r="C52" s="25"/>
      <c r="D52" s="18"/>
      <c r="E52" s="36"/>
      <c r="F52" s="25"/>
      <c r="G52" s="25"/>
      <c r="H52" s="25"/>
      <c r="I52" s="18"/>
    </row>
    <row r="53" spans="2:9" s="1" customFormat="1" ht="21.75" customHeight="1" x14ac:dyDescent="0.3">
      <c r="B53" s="37" t="s">
        <v>165</v>
      </c>
      <c r="C53" s="25"/>
      <c r="D53" s="18"/>
      <c r="E53" s="36"/>
      <c r="F53" s="25"/>
      <c r="G53" s="25"/>
      <c r="H53" s="25"/>
      <c r="I53" s="18"/>
    </row>
    <row r="54" spans="2:9" s="1" customFormat="1" ht="21.75" customHeight="1" x14ac:dyDescent="0.3">
      <c r="B54" s="37" t="s">
        <v>167</v>
      </c>
      <c r="C54" s="25"/>
      <c r="D54" s="18"/>
      <c r="E54" s="36"/>
      <c r="F54" s="25"/>
      <c r="G54" s="25"/>
      <c r="H54" s="25"/>
      <c r="I54" s="18"/>
    </row>
    <row r="55" spans="2:9" s="1" customFormat="1" ht="21.75" customHeight="1" x14ac:dyDescent="0.3">
      <c r="B55" s="37" t="s">
        <v>169</v>
      </c>
      <c r="C55" s="25"/>
      <c r="D55" s="18"/>
      <c r="E55" s="36"/>
      <c r="F55" s="25"/>
      <c r="G55" s="25"/>
      <c r="H55" s="25"/>
      <c r="I55" s="18"/>
    </row>
    <row r="56" spans="2:9" x14ac:dyDescent="0.3">
      <c r="E56" s="36"/>
      <c r="F56" s="25"/>
      <c r="G56" s="25"/>
      <c r="H56" s="25"/>
      <c r="I56" s="18"/>
    </row>
    <row r="57" spans="2:9" s="1" customFormat="1" ht="21.75" customHeight="1" x14ac:dyDescent="0.3">
      <c r="B57" s="40" t="s">
        <v>182</v>
      </c>
      <c r="C57" s="25"/>
      <c r="D57" s="25"/>
      <c r="E57" s="25"/>
      <c r="F57" s="25"/>
      <c r="G57" s="25"/>
      <c r="H57" s="25"/>
      <c r="I57" s="18"/>
    </row>
    <row r="58" spans="2:9" s="1" customFormat="1" ht="13.5" customHeight="1" x14ac:dyDescent="0.3">
      <c r="B58" s="31" t="s">
        <v>183</v>
      </c>
      <c r="C58" s="30"/>
      <c r="D58" s="30"/>
      <c r="E58" s="30"/>
      <c r="F58" s="30"/>
      <c r="G58" s="30"/>
      <c r="H58" s="30"/>
      <c r="I58" s="30"/>
    </row>
    <row r="59" spans="2:9" s="1" customFormat="1" ht="18" customHeight="1" x14ac:dyDescent="0.3">
      <c r="B59" s="41" t="s">
        <v>184</v>
      </c>
      <c r="C59" s="25"/>
      <c r="D59" s="25"/>
      <c r="E59" s="25"/>
      <c r="F59" s="25"/>
      <c r="G59" s="25"/>
      <c r="H59" s="25"/>
      <c r="I59" s="18"/>
    </row>
    <row r="60" spans="2:9" s="1" customFormat="1" ht="18" customHeight="1" x14ac:dyDescent="0.3">
      <c r="B60" s="42" t="s">
        <v>185</v>
      </c>
      <c r="C60" s="25"/>
      <c r="D60" s="18"/>
      <c r="E60" s="43" t="s">
        <v>186</v>
      </c>
      <c r="F60" s="30"/>
      <c r="G60" s="30"/>
      <c r="H60" s="30"/>
      <c r="I60" s="30"/>
    </row>
    <row r="61" spans="2:9" s="1" customFormat="1" ht="18" customHeight="1" x14ac:dyDescent="0.3">
      <c r="B61" s="42" t="s">
        <v>187</v>
      </c>
      <c r="C61" s="25"/>
      <c r="D61" s="18"/>
      <c r="E61" s="43" t="s">
        <v>188</v>
      </c>
      <c r="F61" s="30"/>
      <c r="G61" s="30"/>
      <c r="H61" s="30"/>
      <c r="I61" s="30"/>
    </row>
    <row r="62" spans="2:9" s="1" customFormat="1" ht="18" customHeight="1" x14ac:dyDescent="0.3">
      <c r="B62" s="42" t="s">
        <v>189</v>
      </c>
      <c r="C62" s="25"/>
      <c r="D62" s="18"/>
      <c r="E62" s="43" t="s">
        <v>190</v>
      </c>
      <c r="F62" s="30"/>
      <c r="G62" s="30"/>
      <c r="H62" s="30"/>
      <c r="I62" s="30"/>
    </row>
    <row r="63" spans="2:9" s="1" customFormat="1" ht="18" customHeight="1" x14ac:dyDescent="0.3">
      <c r="B63" s="42" t="s">
        <v>191</v>
      </c>
      <c r="C63" s="25"/>
      <c r="D63" s="18"/>
      <c r="E63" s="43" t="s">
        <v>192</v>
      </c>
      <c r="F63" s="30"/>
      <c r="G63" s="30"/>
      <c r="H63" s="30"/>
      <c r="I63" s="30"/>
    </row>
    <row r="64" spans="2:9" s="1" customFormat="1" ht="18" customHeight="1" x14ac:dyDescent="0.3">
      <c r="B64" s="42" t="s">
        <v>193</v>
      </c>
      <c r="C64" s="25"/>
      <c r="D64" s="18"/>
      <c r="E64" s="43" t="s">
        <v>194</v>
      </c>
      <c r="F64" s="30"/>
      <c r="G64" s="30"/>
      <c r="H64" s="30"/>
      <c r="I64" s="30"/>
    </row>
    <row r="66" spans="2:9" s="1" customFormat="1" ht="18" customHeight="1" x14ac:dyDescent="0.3">
      <c r="B66" s="41" t="s">
        <v>195</v>
      </c>
      <c r="C66" s="25"/>
      <c r="D66" s="25"/>
      <c r="E66" s="25"/>
      <c r="F66" s="25"/>
      <c r="G66" s="25"/>
      <c r="H66" s="25"/>
      <c r="I66" s="18"/>
    </row>
    <row r="67" spans="2:9" s="1" customFormat="1" ht="18" customHeight="1" x14ac:dyDescent="0.3">
      <c r="B67" s="42" t="s">
        <v>185</v>
      </c>
      <c r="C67" s="25"/>
      <c r="D67" s="18"/>
      <c r="E67" s="44" t="s">
        <v>196</v>
      </c>
      <c r="F67" s="30"/>
      <c r="G67" s="30"/>
      <c r="H67" s="30"/>
      <c r="I67" s="30"/>
    </row>
    <row r="68" spans="2:9" s="1" customFormat="1" ht="18" customHeight="1" x14ac:dyDescent="0.3">
      <c r="B68" s="42" t="s">
        <v>187</v>
      </c>
      <c r="C68" s="25"/>
      <c r="D68" s="18"/>
      <c r="E68" s="44" t="s">
        <v>197</v>
      </c>
      <c r="F68" s="30"/>
      <c r="G68" s="30"/>
      <c r="H68" s="30"/>
      <c r="I68" s="30"/>
    </row>
    <row r="69" spans="2:9" s="1" customFormat="1" ht="18" customHeight="1" x14ac:dyDescent="0.3">
      <c r="B69" s="42" t="s">
        <v>189</v>
      </c>
      <c r="C69" s="25"/>
      <c r="D69" s="18"/>
      <c r="E69" s="44" t="s">
        <v>198</v>
      </c>
      <c r="F69" s="30"/>
      <c r="G69" s="30"/>
      <c r="H69" s="30"/>
      <c r="I69" s="30"/>
    </row>
    <row r="70" spans="2:9" s="1" customFormat="1" ht="18" customHeight="1" x14ac:dyDescent="0.3">
      <c r="B70" s="42" t="s">
        <v>191</v>
      </c>
      <c r="C70" s="25"/>
      <c r="D70" s="18"/>
      <c r="E70" s="44" t="s">
        <v>199</v>
      </c>
      <c r="F70" s="30"/>
      <c r="G70" s="30"/>
      <c r="H70" s="30"/>
      <c r="I70" s="30"/>
    </row>
    <row r="71" spans="2:9" s="1" customFormat="1" ht="18" customHeight="1" x14ac:dyDescent="0.3">
      <c r="B71" s="42" t="s">
        <v>193</v>
      </c>
      <c r="C71" s="25"/>
      <c r="D71" s="18"/>
      <c r="E71" s="44" t="s">
        <v>200</v>
      </c>
      <c r="F71" s="30"/>
      <c r="G71" s="30"/>
      <c r="H71" s="30"/>
      <c r="I71" s="30"/>
    </row>
    <row r="73" spans="2:9" s="1" customFormat="1" ht="18" customHeight="1" x14ac:dyDescent="0.3">
      <c r="B73" s="41" t="s">
        <v>201</v>
      </c>
      <c r="C73" s="25"/>
      <c r="D73" s="25"/>
      <c r="E73" s="25"/>
      <c r="F73" s="25"/>
      <c r="G73" s="25"/>
      <c r="H73" s="25"/>
      <c r="I73" s="18"/>
    </row>
    <row r="74" spans="2:9" s="1" customFormat="1" ht="18" customHeight="1" x14ac:dyDescent="0.3">
      <c r="B74" s="42" t="s">
        <v>185</v>
      </c>
      <c r="C74" s="25"/>
      <c r="D74" s="18"/>
      <c r="E74" s="37" t="s">
        <v>202</v>
      </c>
      <c r="F74" s="25"/>
      <c r="G74" s="25"/>
      <c r="H74" s="25"/>
      <c r="I74" s="18"/>
    </row>
    <row r="75" spans="2:9" s="1" customFormat="1" ht="18" customHeight="1" x14ac:dyDescent="0.3">
      <c r="B75" s="42" t="s">
        <v>187</v>
      </c>
      <c r="C75" s="25"/>
      <c r="D75" s="18"/>
      <c r="E75" s="37" t="s">
        <v>203</v>
      </c>
      <c r="F75" s="25"/>
      <c r="G75" s="25"/>
      <c r="H75" s="25"/>
      <c r="I75" s="18"/>
    </row>
    <row r="76" spans="2:9" s="1" customFormat="1" ht="18" customHeight="1" x14ac:dyDescent="0.3">
      <c r="B76" s="42" t="s">
        <v>189</v>
      </c>
      <c r="C76" s="25"/>
      <c r="D76" s="18"/>
      <c r="E76" s="37" t="s">
        <v>204</v>
      </c>
      <c r="F76" s="25"/>
      <c r="G76" s="25"/>
      <c r="H76" s="25"/>
      <c r="I76" s="18"/>
    </row>
    <row r="77" spans="2:9" s="1" customFormat="1" ht="18" customHeight="1" x14ac:dyDescent="0.3">
      <c r="B77" s="42" t="s">
        <v>191</v>
      </c>
      <c r="C77" s="25"/>
      <c r="D77" s="18"/>
      <c r="E77" s="37" t="s">
        <v>205</v>
      </c>
      <c r="F77" s="25"/>
      <c r="G77" s="25"/>
      <c r="H77" s="25"/>
      <c r="I77" s="18"/>
    </row>
    <row r="78" spans="2:9" s="1" customFormat="1" ht="18" customHeight="1" x14ac:dyDescent="0.3">
      <c r="B78" s="42" t="s">
        <v>193</v>
      </c>
      <c r="C78" s="25"/>
      <c r="D78" s="18"/>
      <c r="E78" s="37" t="s">
        <v>206</v>
      </c>
      <c r="F78" s="25"/>
      <c r="G78" s="25"/>
      <c r="H78" s="25"/>
      <c r="I78" s="18"/>
    </row>
    <row r="80" spans="2:9" s="1" customFormat="1" ht="18" customHeight="1" x14ac:dyDescent="0.3">
      <c r="B80" s="41" t="s">
        <v>207</v>
      </c>
      <c r="C80" s="25"/>
      <c r="D80" s="25"/>
      <c r="E80" s="25"/>
      <c r="F80" s="25"/>
      <c r="G80" s="25"/>
      <c r="H80" s="25"/>
      <c r="I80" s="18"/>
    </row>
    <row r="81" spans="2:9" s="1" customFormat="1" ht="18" customHeight="1" x14ac:dyDescent="0.3">
      <c r="B81" s="42" t="s">
        <v>185</v>
      </c>
      <c r="C81" s="25"/>
      <c r="D81" s="18"/>
      <c r="E81" s="37" t="s">
        <v>208</v>
      </c>
      <c r="F81" s="25"/>
      <c r="G81" s="25"/>
      <c r="H81" s="25"/>
      <c r="I81" s="18"/>
    </row>
    <row r="82" spans="2:9" s="1" customFormat="1" ht="18" customHeight="1" x14ac:dyDescent="0.3">
      <c r="B82" s="42" t="s">
        <v>187</v>
      </c>
      <c r="C82" s="25"/>
      <c r="D82" s="18"/>
      <c r="E82" s="37" t="s">
        <v>209</v>
      </c>
      <c r="F82" s="25"/>
      <c r="G82" s="25"/>
      <c r="H82" s="25"/>
      <c r="I82" s="18"/>
    </row>
    <row r="83" spans="2:9" s="1" customFormat="1" ht="18" customHeight="1" x14ac:dyDescent="0.3">
      <c r="B83" s="42" t="s">
        <v>189</v>
      </c>
      <c r="C83" s="25"/>
      <c r="D83" s="18"/>
      <c r="E83" s="37" t="s">
        <v>210</v>
      </c>
      <c r="F83" s="25"/>
      <c r="G83" s="25"/>
      <c r="H83" s="25"/>
      <c r="I83" s="18"/>
    </row>
    <row r="84" spans="2:9" s="1" customFormat="1" ht="18" customHeight="1" x14ac:dyDescent="0.3">
      <c r="B84" s="42" t="s">
        <v>191</v>
      </c>
      <c r="C84" s="25"/>
      <c r="D84" s="18"/>
      <c r="E84" s="37" t="s">
        <v>211</v>
      </c>
      <c r="F84" s="25"/>
      <c r="G84" s="25"/>
      <c r="H84" s="25"/>
      <c r="I84" s="18"/>
    </row>
    <row r="85" spans="2:9" s="1" customFormat="1" ht="18" customHeight="1" x14ac:dyDescent="0.3">
      <c r="B85" s="42" t="s">
        <v>193</v>
      </c>
      <c r="C85" s="25"/>
      <c r="D85" s="18"/>
      <c r="E85" s="37" t="s">
        <v>212</v>
      </c>
      <c r="F85" s="25"/>
      <c r="G85" s="25"/>
      <c r="H85" s="25"/>
      <c r="I85" s="18"/>
    </row>
    <row r="87" spans="2:9" s="1" customFormat="1" ht="18" customHeight="1" x14ac:dyDescent="0.3">
      <c r="B87" s="41" t="s">
        <v>213</v>
      </c>
      <c r="C87" s="25"/>
      <c r="D87" s="25"/>
      <c r="E87" s="25"/>
      <c r="F87" s="25"/>
      <c r="G87" s="25"/>
      <c r="H87" s="25"/>
      <c r="I87" s="18"/>
    </row>
    <row r="88" spans="2:9" s="1" customFormat="1" ht="18" customHeight="1" x14ac:dyDescent="0.3">
      <c r="B88" s="42" t="s">
        <v>185</v>
      </c>
      <c r="C88" s="25"/>
      <c r="D88" s="18"/>
      <c r="E88" s="37" t="s">
        <v>208</v>
      </c>
      <c r="F88" s="25"/>
      <c r="G88" s="25"/>
      <c r="H88" s="25"/>
      <c r="I88" s="18"/>
    </row>
    <row r="89" spans="2:9" s="1" customFormat="1" ht="18" customHeight="1" x14ac:dyDescent="0.3">
      <c r="B89" s="42" t="s">
        <v>187</v>
      </c>
      <c r="C89" s="25"/>
      <c r="D89" s="18"/>
      <c r="E89" s="37" t="s">
        <v>209</v>
      </c>
      <c r="F89" s="25"/>
      <c r="G89" s="25"/>
      <c r="H89" s="25"/>
      <c r="I89" s="18"/>
    </row>
    <row r="90" spans="2:9" s="1" customFormat="1" ht="18" customHeight="1" x14ac:dyDescent="0.3">
      <c r="B90" s="42" t="s">
        <v>189</v>
      </c>
      <c r="C90" s="25"/>
      <c r="D90" s="18"/>
      <c r="E90" s="37" t="s">
        <v>210</v>
      </c>
      <c r="F90" s="25"/>
      <c r="G90" s="25"/>
      <c r="H90" s="25"/>
      <c r="I90" s="18"/>
    </row>
    <row r="91" spans="2:9" s="1" customFormat="1" ht="18" customHeight="1" x14ac:dyDescent="0.3">
      <c r="B91" s="42" t="s">
        <v>191</v>
      </c>
      <c r="C91" s="25"/>
      <c r="D91" s="18"/>
      <c r="E91" s="37" t="s">
        <v>211</v>
      </c>
      <c r="F91" s="25"/>
      <c r="G91" s="25"/>
      <c r="H91" s="25"/>
      <c r="I91" s="18"/>
    </row>
    <row r="92" spans="2:9" s="1" customFormat="1" ht="18" customHeight="1" x14ac:dyDescent="0.3">
      <c r="B92" s="42" t="s">
        <v>193</v>
      </c>
      <c r="C92" s="25"/>
      <c r="D92" s="18"/>
      <c r="E92" s="37" t="s">
        <v>212</v>
      </c>
      <c r="F92" s="25"/>
      <c r="G92" s="25"/>
      <c r="H92" s="25"/>
      <c r="I92" s="18"/>
    </row>
    <row r="94" spans="2:9" s="1" customFormat="1" ht="15.75" customHeight="1" x14ac:dyDescent="0.3">
      <c r="B94" s="45" t="s">
        <v>214</v>
      </c>
      <c r="C94" s="25"/>
      <c r="D94" s="25"/>
      <c r="E94" s="25"/>
      <c r="F94" s="25"/>
      <c r="G94" s="25"/>
      <c r="H94" s="25"/>
      <c r="I94" s="18"/>
    </row>
  </sheetData>
  <mergeCells count="106">
    <mergeCell ref="B92:D92"/>
    <mergeCell ref="E92:I92"/>
    <mergeCell ref="B94:I94"/>
    <mergeCell ref="B87:I87"/>
    <mergeCell ref="B88:D88"/>
    <mergeCell ref="E88:I88"/>
    <mergeCell ref="B89:D89"/>
    <mergeCell ref="E89:I89"/>
    <mergeCell ref="B90:D90"/>
    <mergeCell ref="E90:I90"/>
    <mergeCell ref="B91:D91"/>
    <mergeCell ref="E91:I91"/>
    <mergeCell ref="B81:D81"/>
    <mergeCell ref="E81:I81"/>
    <mergeCell ref="B82:D82"/>
    <mergeCell ref="E82:I82"/>
    <mergeCell ref="B83:D83"/>
    <mergeCell ref="E83:I83"/>
    <mergeCell ref="B84:D84"/>
    <mergeCell ref="E84:I84"/>
    <mergeCell ref="B85:D85"/>
    <mergeCell ref="E85:I85"/>
    <mergeCell ref="B75:D75"/>
    <mergeCell ref="E75:I75"/>
    <mergeCell ref="B76:D76"/>
    <mergeCell ref="E76:I76"/>
    <mergeCell ref="B77:D77"/>
    <mergeCell ref="E77:I77"/>
    <mergeCell ref="B78:D78"/>
    <mergeCell ref="E78:I78"/>
    <mergeCell ref="B80:I80"/>
    <mergeCell ref="B69:D69"/>
    <mergeCell ref="E69:I69"/>
    <mergeCell ref="B70:D70"/>
    <mergeCell ref="E70:I70"/>
    <mergeCell ref="B71:D71"/>
    <mergeCell ref="E71:I71"/>
    <mergeCell ref="B73:I73"/>
    <mergeCell ref="B74:D74"/>
    <mergeCell ref="E74:I74"/>
    <mergeCell ref="B63:D63"/>
    <mergeCell ref="E63:I63"/>
    <mergeCell ref="B64:D64"/>
    <mergeCell ref="E64:I64"/>
    <mergeCell ref="B66:I66"/>
    <mergeCell ref="B67:D67"/>
    <mergeCell ref="E67:I67"/>
    <mergeCell ref="B68:D68"/>
    <mergeCell ref="E68:I68"/>
    <mergeCell ref="B57:I57"/>
    <mergeCell ref="B58:I58"/>
    <mergeCell ref="B59:I59"/>
    <mergeCell ref="B60:D60"/>
    <mergeCell ref="E60:I60"/>
    <mergeCell ref="B61:D61"/>
    <mergeCell ref="E61:I61"/>
    <mergeCell ref="B62:D62"/>
    <mergeCell ref="E62:I62"/>
    <mergeCell ref="B52:D52"/>
    <mergeCell ref="E52:I52"/>
    <mergeCell ref="B53:D53"/>
    <mergeCell ref="E53:I53"/>
    <mergeCell ref="B54:D54"/>
    <mergeCell ref="E54:I54"/>
    <mergeCell ref="B55:D55"/>
    <mergeCell ref="E55:I55"/>
    <mergeCell ref="E56:I56"/>
    <mergeCell ref="B47:D47"/>
    <mergeCell ref="E47:I47"/>
    <mergeCell ref="B48:D48"/>
    <mergeCell ref="E48:I48"/>
    <mergeCell ref="B49:D49"/>
    <mergeCell ref="E49:I49"/>
    <mergeCell ref="B50:D50"/>
    <mergeCell ref="E50:I50"/>
    <mergeCell ref="B51:D51"/>
    <mergeCell ref="E51:I51"/>
    <mergeCell ref="B42:D42"/>
    <mergeCell ref="E42:I42"/>
    <mergeCell ref="B43:D43"/>
    <mergeCell ref="E43:I43"/>
    <mergeCell ref="B44:D44"/>
    <mergeCell ref="E44:I44"/>
    <mergeCell ref="B45:D45"/>
    <mergeCell ref="E45:I45"/>
    <mergeCell ref="B46:D46"/>
    <mergeCell ref="E46:I46"/>
    <mergeCell ref="B24:I24"/>
    <mergeCell ref="B28:I28"/>
    <mergeCell ref="B32:I32"/>
    <mergeCell ref="B37:I37"/>
    <mergeCell ref="B38:I38"/>
    <mergeCell ref="E39:I39"/>
    <mergeCell ref="B40:D40"/>
    <mergeCell ref="E40:I40"/>
    <mergeCell ref="B41:D41"/>
    <mergeCell ref="E41:I41"/>
    <mergeCell ref="B2:I2"/>
    <mergeCell ref="B3:I3"/>
    <mergeCell ref="B5:I5"/>
    <mergeCell ref="B6:I6"/>
    <mergeCell ref="B17:I17"/>
    <mergeCell ref="B18:I18"/>
    <mergeCell ref="D19:F19"/>
    <mergeCell ref="G19:H19"/>
    <mergeCell ref="B20:I20"/>
  </mergeCells>
  <pageMargins left="0.75" right="0.75" top="1" bottom="1" header="0.511811023622047" footer="0.511811023622047"/>
  <pageSetup paperSize="9" orientation="portrait" useFirstPageNumber="1"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4"/>
  <sheetViews>
    <sheetView showGridLines="0" zoomScale="85" zoomScaleNormal="85" workbookViewId="0">
      <selection activeCell="G15" sqref="G15"/>
    </sheetView>
  </sheetViews>
  <sheetFormatPr defaultColWidth="8.5546875" defaultRowHeight="14.4" customHeight="1" x14ac:dyDescent="0.3"/>
  <cols>
    <col min="1" max="1" width="3" style="1" customWidth="1"/>
    <col min="2" max="2" width="12" style="1" customWidth="1"/>
    <col min="3" max="3" width="6" style="1" customWidth="1"/>
    <col min="4" max="4" width="12.6640625" style="1" customWidth="1"/>
    <col min="5" max="5" width="32" style="1" customWidth="1"/>
    <col min="6" max="6" width="20" style="1" customWidth="1"/>
    <col min="7" max="7" width="12" style="1" customWidth="1"/>
    <col min="8" max="8" width="28" style="1" customWidth="1"/>
    <col min="9" max="9" width="22" style="1" customWidth="1"/>
  </cols>
  <sheetData>
    <row r="1" spans="2:9" s="1" customFormat="1" ht="13.5" customHeight="1" x14ac:dyDescent="0.3"/>
    <row r="2" spans="2:9" s="1" customFormat="1" ht="33.75" customHeight="1" x14ac:dyDescent="0.3">
      <c r="B2" s="28" t="s">
        <v>79</v>
      </c>
      <c r="C2" s="25"/>
      <c r="D2" s="25"/>
      <c r="E2" s="25"/>
      <c r="F2" s="25"/>
      <c r="G2" s="25"/>
      <c r="H2" s="25"/>
      <c r="I2" s="18"/>
    </row>
    <row r="3" spans="2:9" s="1" customFormat="1" ht="15.75" customHeight="1" x14ac:dyDescent="0.3">
      <c r="B3" s="29" t="s">
        <v>80</v>
      </c>
      <c r="C3" s="30"/>
      <c r="D3" s="30"/>
      <c r="E3" s="30"/>
      <c r="F3" s="30"/>
      <c r="G3" s="30"/>
      <c r="H3" s="30"/>
      <c r="I3" s="30"/>
    </row>
    <row r="5" spans="2:9" s="1" customFormat="1" ht="21.75" customHeight="1" x14ac:dyDescent="0.3">
      <c r="B5" s="21" t="s">
        <v>81</v>
      </c>
      <c r="C5" s="25"/>
      <c r="D5" s="25"/>
      <c r="E5" s="25"/>
      <c r="F5" s="25"/>
      <c r="G5" s="25"/>
      <c r="H5" s="25"/>
      <c r="I5" s="18"/>
    </row>
    <row r="6" spans="2:9" s="1" customFormat="1" ht="13.5" customHeight="1" x14ac:dyDescent="0.3">
      <c r="B6" s="31" t="s">
        <v>82</v>
      </c>
      <c r="C6" s="30"/>
      <c r="D6" s="30"/>
      <c r="E6" s="30"/>
      <c r="F6" s="30"/>
      <c r="G6" s="30"/>
      <c r="H6" s="30"/>
      <c r="I6" s="30"/>
    </row>
    <row r="7" spans="2:9" s="1" customFormat="1" ht="19.5" customHeight="1" x14ac:dyDescent="0.3">
      <c r="B7" s="4" t="s">
        <v>83</v>
      </c>
      <c r="C7" s="4" t="s">
        <v>84</v>
      </c>
      <c r="D7" s="4" t="s">
        <v>85</v>
      </c>
      <c r="E7" s="4" t="s">
        <v>86</v>
      </c>
      <c r="F7" s="4" t="s">
        <v>87</v>
      </c>
      <c r="G7" s="4" t="s">
        <v>88</v>
      </c>
      <c r="H7" s="4" t="s">
        <v>89</v>
      </c>
      <c r="I7" s="4" t="s">
        <v>90</v>
      </c>
    </row>
    <row r="8" spans="2:9" s="1" customFormat="1" ht="18" customHeight="1" x14ac:dyDescent="0.3">
      <c r="B8" s="2" t="s">
        <v>215</v>
      </c>
      <c r="C8" s="2" t="s">
        <v>52</v>
      </c>
      <c r="D8" s="2" t="s">
        <v>92</v>
      </c>
      <c r="E8" s="2" t="s">
        <v>216</v>
      </c>
      <c r="F8" s="2" t="s">
        <v>217</v>
      </c>
      <c r="G8" s="2" t="s">
        <v>100</v>
      </c>
      <c r="H8" s="2" t="s">
        <v>218</v>
      </c>
      <c r="I8" s="2" t="s">
        <v>219</v>
      </c>
    </row>
    <row r="9" spans="2:9" s="1" customFormat="1" ht="18" customHeight="1" x14ac:dyDescent="0.3">
      <c r="B9" s="10" t="s">
        <v>215</v>
      </c>
      <c r="C9" s="2" t="s">
        <v>52</v>
      </c>
      <c r="D9" s="2" t="s">
        <v>92</v>
      </c>
      <c r="E9" s="2" t="s">
        <v>220</v>
      </c>
      <c r="F9" s="2" t="s">
        <v>221</v>
      </c>
      <c r="G9" s="2" t="s">
        <v>105</v>
      </c>
      <c r="H9" s="2" t="s">
        <v>222</v>
      </c>
      <c r="I9" s="2" t="s">
        <v>223</v>
      </c>
    </row>
    <row r="10" spans="2:9" s="1" customFormat="1" ht="18" customHeight="1" x14ac:dyDescent="0.3">
      <c r="B10" s="10" t="s">
        <v>215</v>
      </c>
      <c r="C10" s="2" t="s">
        <v>57</v>
      </c>
      <c r="D10" s="2" t="s">
        <v>92</v>
      </c>
      <c r="E10" s="2" t="s">
        <v>224</v>
      </c>
      <c r="F10" s="9" t="s">
        <v>225</v>
      </c>
      <c r="G10" s="2" t="s">
        <v>100</v>
      </c>
      <c r="H10" s="2" t="s">
        <v>226</v>
      </c>
      <c r="I10" s="13" t="s">
        <v>227</v>
      </c>
    </row>
    <row r="11" spans="2:9" s="1" customFormat="1" ht="18" customHeight="1" x14ac:dyDescent="0.3">
      <c r="B11" s="10" t="s">
        <v>215</v>
      </c>
      <c r="C11" s="2" t="s">
        <v>57</v>
      </c>
      <c r="D11" s="9" t="s">
        <v>92</v>
      </c>
      <c r="E11" s="14" t="s">
        <v>228</v>
      </c>
      <c r="F11" s="9" t="s">
        <v>229</v>
      </c>
      <c r="G11" s="9" t="s">
        <v>100</v>
      </c>
      <c r="H11" s="9" t="s">
        <v>230</v>
      </c>
      <c r="I11" s="13" t="s">
        <v>231</v>
      </c>
    </row>
    <row r="12" spans="2:9" s="1" customFormat="1" ht="18" customHeight="1" x14ac:dyDescent="0.3">
      <c r="B12" s="10" t="s">
        <v>215</v>
      </c>
      <c r="C12" s="2" t="s">
        <v>62</v>
      </c>
      <c r="D12" s="2" t="s">
        <v>92</v>
      </c>
      <c r="E12" s="2" t="s">
        <v>232</v>
      </c>
      <c r="F12" s="2" t="s">
        <v>233</v>
      </c>
      <c r="G12" s="2" t="s">
        <v>100</v>
      </c>
      <c r="H12" s="2" t="s">
        <v>234</v>
      </c>
      <c r="I12" s="2" t="s">
        <v>235</v>
      </c>
    </row>
    <row r="13" spans="2:9" s="1" customFormat="1" ht="18" customHeight="1" x14ac:dyDescent="0.3">
      <c r="B13" s="10" t="s">
        <v>215</v>
      </c>
      <c r="C13" s="2" t="s">
        <v>62</v>
      </c>
      <c r="D13" s="2" t="s">
        <v>92</v>
      </c>
      <c r="E13" s="2" t="s">
        <v>236</v>
      </c>
      <c r="F13" s="9" t="s">
        <v>237</v>
      </c>
      <c r="G13" s="2" t="s">
        <v>95</v>
      </c>
      <c r="H13" s="2" t="s">
        <v>238</v>
      </c>
      <c r="I13" s="2" t="s">
        <v>239</v>
      </c>
    </row>
    <row r="14" spans="2:9" s="1" customFormat="1" ht="18" customHeight="1" x14ac:dyDescent="0.3">
      <c r="B14" s="2"/>
      <c r="C14" s="2"/>
      <c r="D14" s="2"/>
      <c r="E14" s="2"/>
      <c r="F14" s="2"/>
      <c r="G14" s="2"/>
      <c r="H14" s="2"/>
      <c r="I14" s="2"/>
    </row>
    <row r="15" spans="2:9" s="1" customFormat="1" ht="18" customHeight="1" x14ac:dyDescent="0.3">
      <c r="B15" s="2"/>
      <c r="C15" s="2"/>
      <c r="D15" s="2"/>
      <c r="E15" s="2"/>
      <c r="F15" s="2"/>
      <c r="G15" s="2"/>
      <c r="H15" s="2"/>
      <c r="I15" s="2"/>
    </row>
    <row r="17" spans="2:9" s="1" customFormat="1" ht="21.75" customHeight="1" x14ac:dyDescent="0.3">
      <c r="B17" s="23" t="s">
        <v>130</v>
      </c>
      <c r="C17" s="25"/>
      <c r="D17" s="25"/>
      <c r="E17" s="25"/>
      <c r="F17" s="25"/>
      <c r="G17" s="25"/>
      <c r="H17" s="25"/>
      <c r="I17" s="18"/>
    </row>
    <row r="18" spans="2:9" s="1" customFormat="1" ht="13.5" customHeight="1" x14ac:dyDescent="0.3">
      <c r="B18" s="31" t="s">
        <v>31</v>
      </c>
      <c r="C18" s="30"/>
      <c r="D18" s="30"/>
      <c r="E18" s="30"/>
      <c r="F18" s="30"/>
      <c r="G18" s="30"/>
      <c r="H18" s="30"/>
      <c r="I18" s="30"/>
    </row>
    <row r="19" spans="2:9" s="1" customFormat="1" ht="19.5" customHeight="1" x14ac:dyDescent="0.3">
      <c r="B19" s="11" t="s">
        <v>131</v>
      </c>
      <c r="C19" s="11" t="s">
        <v>84</v>
      </c>
      <c r="D19" s="32" t="s">
        <v>132</v>
      </c>
      <c r="E19" s="25"/>
      <c r="F19" s="18"/>
      <c r="G19" s="32" t="s">
        <v>133</v>
      </c>
      <c r="H19" s="18"/>
      <c r="I19" s="11" t="s">
        <v>51</v>
      </c>
    </row>
    <row r="20" spans="2:9" s="1" customFormat="1" ht="15.75" customHeight="1" x14ac:dyDescent="0.3">
      <c r="B20" s="33" t="s">
        <v>134</v>
      </c>
      <c r="C20" s="25"/>
      <c r="D20" s="25"/>
      <c r="E20" s="25"/>
      <c r="F20" s="25"/>
      <c r="G20" s="25"/>
      <c r="H20" s="25"/>
      <c r="I20" s="18"/>
    </row>
    <row r="21" spans="2:9" s="1" customFormat="1" ht="18" customHeight="1" x14ac:dyDescent="0.3">
      <c r="B21" s="2"/>
      <c r="C21" s="2" t="s">
        <v>52</v>
      </c>
      <c r="D21" s="2" t="s">
        <v>240</v>
      </c>
      <c r="E21" s="2" t="s">
        <v>241</v>
      </c>
      <c r="F21" s="2"/>
      <c r="G21" s="2" t="s">
        <v>242</v>
      </c>
      <c r="H21" s="2"/>
      <c r="I21" s="2" t="s">
        <v>243</v>
      </c>
    </row>
    <row r="22" spans="2:9" s="1" customFormat="1" ht="18" customHeight="1" x14ac:dyDescent="0.3">
      <c r="B22" s="2"/>
      <c r="C22" s="2" t="s">
        <v>52</v>
      </c>
      <c r="D22" s="2" t="s">
        <v>244</v>
      </c>
      <c r="E22" s="2"/>
      <c r="F22" s="2"/>
      <c r="G22" s="2" t="s">
        <v>245</v>
      </c>
      <c r="H22" s="2"/>
      <c r="I22" s="2" t="s">
        <v>246</v>
      </c>
    </row>
    <row r="23" spans="2:9" s="1" customFormat="1" ht="18" customHeight="1" x14ac:dyDescent="0.3">
      <c r="B23" s="2"/>
      <c r="C23" s="9" t="s">
        <v>62</v>
      </c>
      <c r="D23" s="15" t="s">
        <v>247</v>
      </c>
      <c r="E23" s="2"/>
      <c r="F23" s="2"/>
      <c r="G23" s="9" t="s">
        <v>248</v>
      </c>
      <c r="H23" s="2"/>
      <c r="I23" s="9" t="s">
        <v>249</v>
      </c>
    </row>
    <row r="24" spans="2:9" s="1" customFormat="1" ht="15.75" customHeight="1" x14ac:dyDescent="0.3">
      <c r="B24" s="33" t="s">
        <v>144</v>
      </c>
      <c r="C24" s="25"/>
      <c r="D24" s="25"/>
      <c r="E24" s="25"/>
      <c r="F24" s="25"/>
      <c r="G24" s="25"/>
      <c r="H24" s="25"/>
      <c r="I24" s="18"/>
    </row>
    <row r="25" spans="2:9" s="1" customFormat="1" ht="18" customHeight="1" x14ac:dyDescent="0.3">
      <c r="B25" s="2"/>
      <c r="C25" s="9" t="s">
        <v>52</v>
      </c>
      <c r="D25" s="9" t="s">
        <v>250</v>
      </c>
      <c r="E25" s="2" t="s">
        <v>251</v>
      </c>
      <c r="F25" s="2"/>
      <c r="G25" t="s">
        <v>252</v>
      </c>
      <c r="H25" s="2"/>
      <c r="I25" s="9" t="s">
        <v>253</v>
      </c>
    </row>
    <row r="26" spans="2:9" s="1" customFormat="1" ht="18" customHeight="1" x14ac:dyDescent="0.3">
      <c r="B26" s="2"/>
      <c r="C26" s="9" t="s">
        <v>62</v>
      </c>
      <c r="D26" s="9" t="s">
        <v>254</v>
      </c>
      <c r="E26" s="2"/>
      <c r="F26" s="2"/>
      <c r="G26" s="9" t="s">
        <v>255</v>
      </c>
      <c r="H26" s="2"/>
      <c r="I26" s="15" t="s">
        <v>256</v>
      </c>
    </row>
    <row r="27" spans="2:9" s="1" customFormat="1" ht="18" customHeight="1" x14ac:dyDescent="0.3">
      <c r="B27" s="2"/>
      <c r="C27" s="2"/>
      <c r="D27" s="2"/>
      <c r="E27" s="2"/>
      <c r="F27" s="2"/>
      <c r="G27" s="2"/>
      <c r="H27" s="2"/>
      <c r="I27" s="2"/>
    </row>
    <row r="28" spans="2:9" s="1" customFormat="1" ht="15.75" customHeight="1" x14ac:dyDescent="0.3">
      <c r="B28" s="33" t="s">
        <v>154</v>
      </c>
      <c r="C28" s="25"/>
      <c r="D28" s="25"/>
      <c r="E28" s="25"/>
      <c r="F28" s="25"/>
      <c r="G28" s="25"/>
      <c r="H28" s="25"/>
      <c r="I28" s="18"/>
    </row>
    <row r="29" spans="2:9" s="1" customFormat="1" ht="18" customHeight="1" x14ac:dyDescent="0.3">
      <c r="B29" s="2"/>
      <c r="C29" s="2" t="s">
        <v>52</v>
      </c>
      <c r="D29" s="2"/>
      <c r="E29" s="2" t="s">
        <v>257</v>
      </c>
      <c r="F29" s="2"/>
      <c r="G29" s="2"/>
      <c r="H29" s="2"/>
      <c r="I29" s="2"/>
    </row>
    <row r="30" spans="2:9" s="1" customFormat="1" ht="18" customHeight="1" x14ac:dyDescent="0.3">
      <c r="B30" s="2"/>
      <c r="C30" s="2"/>
      <c r="D30" s="2"/>
      <c r="E30" s="2"/>
      <c r="F30" s="2"/>
      <c r="G30" s="2"/>
      <c r="H30" s="2"/>
      <c r="I30" s="2"/>
    </row>
    <row r="31" spans="2:9" s="1" customFormat="1" ht="18" customHeight="1" x14ac:dyDescent="0.3">
      <c r="B31" s="2"/>
      <c r="C31" s="2"/>
      <c r="D31" s="2"/>
      <c r="E31" s="2"/>
      <c r="F31" s="2"/>
      <c r="G31" s="2"/>
      <c r="H31" s="2"/>
      <c r="I31" s="2"/>
    </row>
    <row r="32" spans="2:9" s="1" customFormat="1" ht="15.75" customHeight="1" x14ac:dyDescent="0.3">
      <c r="B32" s="33" t="s">
        <v>156</v>
      </c>
      <c r="C32" s="25"/>
      <c r="D32" s="25"/>
      <c r="E32" s="25"/>
      <c r="F32" s="25"/>
      <c r="G32" s="25"/>
      <c r="H32" s="25"/>
      <c r="I32" s="18"/>
    </row>
    <row r="33" spans="2:9" s="1" customFormat="1" ht="18" customHeight="1" x14ac:dyDescent="0.3">
      <c r="B33" s="2"/>
      <c r="C33" s="2"/>
      <c r="D33" s="2"/>
      <c r="E33" s="2"/>
      <c r="F33" s="2"/>
      <c r="G33" s="2"/>
      <c r="H33" s="2"/>
      <c r="I33" s="2"/>
    </row>
    <row r="34" spans="2:9" s="1" customFormat="1" ht="18" customHeight="1" x14ac:dyDescent="0.3">
      <c r="B34" s="2"/>
      <c r="C34" s="2"/>
      <c r="D34" s="2"/>
      <c r="E34" s="2"/>
      <c r="F34" s="2"/>
      <c r="G34" s="2"/>
      <c r="H34" s="2"/>
      <c r="I34" s="2"/>
    </row>
    <row r="35" spans="2:9" s="1" customFormat="1" ht="18" customHeight="1" x14ac:dyDescent="0.3">
      <c r="B35" s="2"/>
      <c r="C35" s="2"/>
      <c r="D35" s="2"/>
      <c r="E35" s="2"/>
      <c r="F35" s="2"/>
      <c r="G35" s="2"/>
      <c r="H35" s="2"/>
      <c r="I35" s="2"/>
    </row>
    <row r="37" spans="2:9" s="1" customFormat="1" ht="21.75" customHeight="1" x14ac:dyDescent="0.3">
      <c r="B37" s="22" t="s">
        <v>157</v>
      </c>
      <c r="C37" s="25"/>
      <c r="D37" s="25"/>
      <c r="E37" s="25"/>
      <c r="F37" s="25"/>
      <c r="G37" s="25"/>
      <c r="H37" s="25"/>
      <c r="I37" s="18"/>
    </row>
    <row r="38" spans="2:9" s="1" customFormat="1" ht="13.5" customHeight="1" x14ac:dyDescent="0.3">
      <c r="B38" s="31" t="s">
        <v>158</v>
      </c>
      <c r="C38" s="30"/>
      <c r="D38" s="30"/>
      <c r="E38" s="30"/>
      <c r="F38" s="30"/>
      <c r="G38" s="30"/>
      <c r="H38" s="30"/>
      <c r="I38" s="30"/>
    </row>
    <row r="39" spans="2:9" s="1" customFormat="1" ht="19.5" customHeight="1" x14ac:dyDescent="0.3">
      <c r="B39" s="12" t="s">
        <v>159</v>
      </c>
      <c r="C39" s="12" t="s">
        <v>160</v>
      </c>
      <c r="D39" s="12" t="s">
        <v>161</v>
      </c>
      <c r="E39" s="34" t="s">
        <v>162</v>
      </c>
      <c r="F39" s="25"/>
      <c r="G39" s="25"/>
      <c r="H39" s="25"/>
      <c r="I39" s="18"/>
    </row>
    <row r="40" spans="2:9" s="1" customFormat="1" ht="21.75" customHeight="1" x14ac:dyDescent="0.3">
      <c r="B40" s="35" t="s">
        <v>163</v>
      </c>
      <c r="C40" s="25"/>
      <c r="D40" s="18"/>
      <c r="E40" s="36" t="s">
        <v>258</v>
      </c>
      <c r="F40" s="25"/>
      <c r="G40" s="25"/>
      <c r="H40" s="25"/>
      <c r="I40" s="18"/>
    </row>
    <row r="41" spans="2:9" s="1" customFormat="1" ht="21.75" customHeight="1" x14ac:dyDescent="0.3">
      <c r="B41" s="37" t="s">
        <v>165</v>
      </c>
      <c r="C41" s="25"/>
      <c r="D41" s="18"/>
      <c r="E41" s="36" t="s">
        <v>259</v>
      </c>
      <c r="F41" s="25"/>
      <c r="G41" s="25"/>
      <c r="H41" s="25"/>
      <c r="I41" s="18"/>
    </row>
    <row r="42" spans="2:9" s="1" customFormat="1" ht="21.75" customHeight="1" x14ac:dyDescent="0.3">
      <c r="B42" s="37" t="s">
        <v>167</v>
      </c>
      <c r="C42" s="25"/>
      <c r="D42" s="18"/>
      <c r="E42" s="36" t="s">
        <v>260</v>
      </c>
      <c r="F42" s="25"/>
      <c r="G42" s="25"/>
      <c r="H42" s="25"/>
      <c r="I42" s="18"/>
    </row>
    <row r="43" spans="2:9" s="1" customFormat="1" ht="21.75" customHeight="1" x14ac:dyDescent="0.3">
      <c r="B43" s="37" t="s">
        <v>169</v>
      </c>
      <c r="C43" s="25"/>
      <c r="D43" s="18"/>
      <c r="E43" s="36" t="s">
        <v>261</v>
      </c>
      <c r="F43" s="25"/>
      <c r="G43" s="25"/>
      <c r="H43" s="25"/>
      <c r="I43" s="18"/>
    </row>
    <row r="44" spans="2:9" s="1" customFormat="1" ht="21.75" customHeight="1" x14ac:dyDescent="0.3">
      <c r="B44" s="38" t="s">
        <v>262</v>
      </c>
      <c r="C44" s="25"/>
      <c r="D44" s="18"/>
      <c r="E44" s="39" t="s">
        <v>263</v>
      </c>
      <c r="F44" s="25"/>
      <c r="G44" s="25"/>
      <c r="H44" s="25"/>
      <c r="I44" s="18"/>
    </row>
    <row r="45" spans="2:9" s="1" customFormat="1" ht="21.75" customHeight="1" x14ac:dyDescent="0.3">
      <c r="B45" s="37" t="s">
        <v>165</v>
      </c>
      <c r="C45" s="25"/>
      <c r="D45" s="18"/>
      <c r="E45" s="39" t="s">
        <v>264</v>
      </c>
      <c r="F45" s="25"/>
      <c r="G45" s="25"/>
      <c r="H45" s="25"/>
      <c r="I45" s="18"/>
    </row>
    <row r="46" spans="2:9" s="1" customFormat="1" ht="21.75" customHeight="1" x14ac:dyDescent="0.3">
      <c r="B46" s="37" t="s">
        <v>167</v>
      </c>
      <c r="C46" s="25"/>
      <c r="D46" s="18"/>
      <c r="E46" s="39" t="s">
        <v>265</v>
      </c>
      <c r="F46" s="25"/>
      <c r="G46" s="25"/>
      <c r="H46" s="25"/>
      <c r="I46" s="18"/>
    </row>
    <row r="47" spans="2:9" s="1" customFormat="1" ht="21.75" customHeight="1" x14ac:dyDescent="0.3">
      <c r="B47" s="37" t="s">
        <v>169</v>
      </c>
      <c r="C47" s="25"/>
      <c r="D47" s="18"/>
      <c r="E47" s="39" t="s">
        <v>266</v>
      </c>
      <c r="F47" s="25"/>
      <c r="G47" s="25"/>
      <c r="H47" s="25"/>
      <c r="I47" s="18"/>
    </row>
    <row r="48" spans="2:9" s="1" customFormat="1" ht="21.75" customHeight="1" x14ac:dyDescent="0.3">
      <c r="B48" s="38" t="s">
        <v>176</v>
      </c>
      <c r="C48" s="25"/>
      <c r="D48" s="18"/>
      <c r="E48" s="39" t="s">
        <v>267</v>
      </c>
      <c r="F48" s="25"/>
      <c r="G48" s="25"/>
      <c r="H48" s="25"/>
      <c r="I48" s="18"/>
    </row>
    <row r="49" spans="2:9" s="1" customFormat="1" ht="21.75" customHeight="1" x14ac:dyDescent="0.3">
      <c r="B49" s="37" t="s">
        <v>165</v>
      </c>
      <c r="C49" s="25"/>
      <c r="D49" s="18"/>
      <c r="E49" s="39" t="s">
        <v>268</v>
      </c>
      <c r="F49" s="25"/>
      <c r="G49" s="25"/>
      <c r="H49" s="25"/>
      <c r="I49" s="18"/>
    </row>
    <row r="50" spans="2:9" s="1" customFormat="1" ht="21.75" customHeight="1" x14ac:dyDescent="0.3">
      <c r="B50" s="37" t="s">
        <v>167</v>
      </c>
      <c r="C50" s="25"/>
      <c r="D50" s="18"/>
      <c r="E50" s="39" t="s">
        <v>269</v>
      </c>
      <c r="F50" s="25"/>
      <c r="G50" s="25"/>
      <c r="H50" s="25"/>
      <c r="I50" s="18"/>
    </row>
    <row r="51" spans="2:9" s="1" customFormat="1" ht="21.75" customHeight="1" x14ac:dyDescent="0.3">
      <c r="B51" s="37" t="s">
        <v>169</v>
      </c>
      <c r="C51" s="25"/>
      <c r="D51" s="18"/>
      <c r="E51" s="39" t="s">
        <v>270</v>
      </c>
      <c r="F51" s="25"/>
      <c r="G51" s="25"/>
      <c r="H51" s="25"/>
      <c r="I51" s="18"/>
    </row>
    <row r="52" spans="2:9" s="1" customFormat="1" ht="21.75" customHeight="1" x14ac:dyDescent="0.3">
      <c r="B52" s="35" t="s">
        <v>181</v>
      </c>
      <c r="C52" s="25"/>
      <c r="D52" s="18"/>
      <c r="E52" s="39" t="s">
        <v>271</v>
      </c>
      <c r="F52" s="25"/>
      <c r="G52" s="25"/>
      <c r="H52" s="25"/>
      <c r="I52" s="18"/>
    </row>
    <row r="53" spans="2:9" s="1" customFormat="1" ht="21.75" customHeight="1" x14ac:dyDescent="0.3">
      <c r="B53" s="37" t="s">
        <v>165</v>
      </c>
      <c r="C53" s="25"/>
      <c r="D53" s="18"/>
      <c r="E53" s="36"/>
      <c r="F53" s="25"/>
      <c r="G53" s="25"/>
      <c r="H53" s="25"/>
      <c r="I53" s="18"/>
    </row>
    <row r="54" spans="2:9" s="1" customFormat="1" ht="21.75" customHeight="1" x14ac:dyDescent="0.3">
      <c r="B54" s="37" t="s">
        <v>167</v>
      </c>
      <c r="C54" s="25"/>
      <c r="D54" s="18"/>
      <c r="E54" s="36"/>
      <c r="F54" s="25"/>
      <c r="G54" s="25"/>
      <c r="H54" s="25"/>
      <c r="I54" s="18"/>
    </row>
    <row r="55" spans="2:9" s="1" customFormat="1" ht="21.75" customHeight="1" x14ac:dyDescent="0.3">
      <c r="B55" s="37" t="s">
        <v>169</v>
      </c>
      <c r="C55" s="25"/>
      <c r="D55" s="18"/>
      <c r="E55" s="36"/>
      <c r="F55" s="25"/>
      <c r="G55" s="25"/>
      <c r="H55" s="25"/>
      <c r="I55" s="18"/>
    </row>
    <row r="56" spans="2:9" x14ac:dyDescent="0.3">
      <c r="E56" s="36"/>
      <c r="F56" s="25"/>
      <c r="G56" s="25"/>
      <c r="H56" s="25"/>
      <c r="I56" s="18"/>
    </row>
    <row r="57" spans="2:9" s="1" customFormat="1" ht="21.75" customHeight="1" x14ac:dyDescent="0.3">
      <c r="B57" s="40" t="s">
        <v>182</v>
      </c>
      <c r="C57" s="25"/>
      <c r="D57" s="25"/>
      <c r="E57" s="25"/>
      <c r="F57" s="25"/>
      <c r="G57" s="25"/>
      <c r="H57" s="25"/>
      <c r="I57" s="18"/>
    </row>
    <row r="58" spans="2:9" s="1" customFormat="1" ht="13.5" customHeight="1" x14ac:dyDescent="0.3">
      <c r="B58" s="31" t="s">
        <v>183</v>
      </c>
      <c r="C58" s="30"/>
      <c r="D58" s="30"/>
      <c r="E58" s="30"/>
      <c r="F58" s="30"/>
      <c r="G58" s="30"/>
      <c r="H58" s="30"/>
      <c r="I58" s="30"/>
    </row>
    <row r="59" spans="2:9" s="1" customFormat="1" ht="18" customHeight="1" x14ac:dyDescent="0.3">
      <c r="B59" s="41" t="s">
        <v>184</v>
      </c>
      <c r="C59" s="25"/>
      <c r="D59" s="25"/>
      <c r="E59" s="25"/>
      <c r="F59" s="25"/>
      <c r="G59" s="25"/>
      <c r="H59" s="25"/>
      <c r="I59" s="18"/>
    </row>
    <row r="60" spans="2:9" s="1" customFormat="1" ht="18" customHeight="1" x14ac:dyDescent="0.3">
      <c r="B60" s="42" t="s">
        <v>185</v>
      </c>
      <c r="C60" s="25"/>
      <c r="D60" s="18"/>
      <c r="E60" s="43" t="s">
        <v>272</v>
      </c>
      <c r="F60" s="30"/>
      <c r="G60" s="30"/>
      <c r="H60" s="30"/>
      <c r="I60" s="30"/>
    </row>
    <row r="61" spans="2:9" s="1" customFormat="1" ht="18" customHeight="1" x14ac:dyDescent="0.3">
      <c r="B61" s="42" t="s">
        <v>187</v>
      </c>
      <c r="C61" s="25"/>
      <c r="D61" s="18"/>
      <c r="E61" s="43" t="s">
        <v>273</v>
      </c>
      <c r="F61" s="30"/>
      <c r="G61" s="30"/>
      <c r="H61" s="30"/>
      <c r="I61" s="30"/>
    </row>
    <row r="62" spans="2:9" s="1" customFormat="1" ht="18" customHeight="1" x14ac:dyDescent="0.3">
      <c r="B62" s="42" t="s">
        <v>189</v>
      </c>
      <c r="C62" s="25"/>
      <c r="D62" s="18"/>
      <c r="E62" s="43" t="s">
        <v>274</v>
      </c>
      <c r="F62" s="30"/>
      <c r="G62" s="30"/>
      <c r="H62" s="30"/>
      <c r="I62" s="30"/>
    </row>
    <row r="63" spans="2:9" s="1" customFormat="1" ht="18" customHeight="1" x14ac:dyDescent="0.3">
      <c r="B63" s="42" t="s">
        <v>191</v>
      </c>
      <c r="C63" s="25"/>
      <c r="D63" s="18"/>
      <c r="E63" s="43" t="s">
        <v>275</v>
      </c>
      <c r="F63" s="30"/>
      <c r="G63" s="30"/>
      <c r="H63" s="30"/>
      <c r="I63" s="30"/>
    </row>
    <row r="64" spans="2:9" s="1" customFormat="1" ht="18" customHeight="1" x14ac:dyDescent="0.3">
      <c r="B64" s="42" t="s">
        <v>193</v>
      </c>
      <c r="C64" s="25"/>
      <c r="D64" s="18"/>
      <c r="E64" s="43" t="s">
        <v>276</v>
      </c>
      <c r="F64" s="30"/>
      <c r="G64" s="30"/>
      <c r="H64" s="30"/>
      <c r="I64" s="30"/>
    </row>
    <row r="66" spans="2:9" s="1" customFormat="1" ht="18" customHeight="1" x14ac:dyDescent="0.3">
      <c r="B66" s="41" t="s">
        <v>195</v>
      </c>
      <c r="C66" s="25"/>
      <c r="D66" s="25"/>
      <c r="E66" s="25"/>
      <c r="F66" s="25"/>
      <c r="G66" s="25"/>
      <c r="H66" s="25"/>
      <c r="I66" s="18"/>
    </row>
    <row r="67" spans="2:9" s="1" customFormat="1" ht="18" customHeight="1" x14ac:dyDescent="0.3">
      <c r="B67" s="42" t="s">
        <v>185</v>
      </c>
      <c r="C67" s="25"/>
      <c r="D67" s="18"/>
      <c r="E67" s="44" t="s">
        <v>277</v>
      </c>
      <c r="F67" s="30"/>
      <c r="G67" s="30"/>
      <c r="H67" s="30"/>
      <c r="I67" s="30"/>
    </row>
    <row r="68" spans="2:9" s="1" customFormat="1" ht="18" customHeight="1" x14ac:dyDescent="0.3">
      <c r="B68" s="42" t="s">
        <v>187</v>
      </c>
      <c r="C68" s="25"/>
      <c r="D68" s="18"/>
      <c r="E68" s="44" t="s">
        <v>278</v>
      </c>
      <c r="F68" s="30"/>
      <c r="G68" s="30"/>
      <c r="H68" s="30"/>
      <c r="I68" s="30"/>
    </row>
    <row r="69" spans="2:9" s="1" customFormat="1" ht="18" customHeight="1" x14ac:dyDescent="0.3">
      <c r="B69" s="42" t="s">
        <v>189</v>
      </c>
      <c r="C69" s="25"/>
      <c r="D69" s="18"/>
      <c r="E69" s="44" t="s">
        <v>279</v>
      </c>
      <c r="F69" s="30"/>
      <c r="G69" s="30"/>
      <c r="H69" s="30"/>
      <c r="I69" s="30"/>
    </row>
    <row r="70" spans="2:9" s="1" customFormat="1" ht="18" customHeight="1" x14ac:dyDescent="0.3">
      <c r="B70" s="42" t="s">
        <v>191</v>
      </c>
      <c r="C70" s="25"/>
      <c r="D70" s="18"/>
      <c r="E70" s="44" t="s">
        <v>280</v>
      </c>
      <c r="F70" s="30"/>
      <c r="G70" s="30"/>
      <c r="H70" s="30"/>
      <c r="I70" s="30"/>
    </row>
    <row r="71" spans="2:9" s="1" customFormat="1" ht="18" customHeight="1" x14ac:dyDescent="0.3">
      <c r="B71" s="42" t="s">
        <v>193</v>
      </c>
      <c r="C71" s="25"/>
      <c r="D71" s="18"/>
      <c r="E71" s="44" t="s">
        <v>281</v>
      </c>
      <c r="F71" s="30"/>
      <c r="G71" s="30"/>
      <c r="H71" s="30"/>
      <c r="I71" s="30"/>
    </row>
    <row r="73" spans="2:9" s="1" customFormat="1" ht="18" customHeight="1" x14ac:dyDescent="0.3">
      <c r="B73" s="41" t="s">
        <v>201</v>
      </c>
      <c r="C73" s="25"/>
      <c r="D73" s="25"/>
      <c r="E73" s="25"/>
      <c r="F73" s="25"/>
      <c r="G73" s="25"/>
      <c r="H73" s="25"/>
      <c r="I73" s="18"/>
    </row>
    <row r="74" spans="2:9" s="1" customFormat="1" ht="18" customHeight="1" x14ac:dyDescent="0.3">
      <c r="B74" s="42" t="s">
        <v>185</v>
      </c>
      <c r="C74" s="25"/>
      <c r="D74" s="18"/>
      <c r="E74" s="46" t="s">
        <v>282</v>
      </c>
      <c r="F74" s="25"/>
      <c r="G74" s="25"/>
      <c r="H74" s="25"/>
      <c r="I74" s="18"/>
    </row>
    <row r="75" spans="2:9" s="1" customFormat="1" ht="18" customHeight="1" x14ac:dyDescent="0.3">
      <c r="B75" s="42" t="s">
        <v>187</v>
      </c>
      <c r="C75" s="25"/>
      <c r="D75" s="18"/>
      <c r="E75" s="46" t="s">
        <v>283</v>
      </c>
      <c r="F75" s="25"/>
      <c r="G75" s="25"/>
      <c r="H75" s="25"/>
      <c r="I75" s="18"/>
    </row>
    <row r="76" spans="2:9" s="1" customFormat="1" ht="18" customHeight="1" x14ac:dyDescent="0.3">
      <c r="B76" s="42" t="s">
        <v>189</v>
      </c>
      <c r="C76" s="25"/>
      <c r="D76" s="18"/>
      <c r="E76" s="46" t="s">
        <v>284</v>
      </c>
      <c r="F76" s="25"/>
      <c r="G76" s="25"/>
      <c r="H76" s="25"/>
      <c r="I76" s="18"/>
    </row>
    <row r="77" spans="2:9" s="1" customFormat="1" ht="18" customHeight="1" x14ac:dyDescent="0.3">
      <c r="B77" s="42" t="s">
        <v>191</v>
      </c>
      <c r="C77" s="25"/>
      <c r="D77" s="18"/>
      <c r="E77" s="46" t="s">
        <v>285</v>
      </c>
      <c r="F77" s="25"/>
      <c r="G77" s="25"/>
      <c r="H77" s="25"/>
      <c r="I77" s="18"/>
    </row>
    <row r="78" spans="2:9" s="1" customFormat="1" ht="18" customHeight="1" x14ac:dyDescent="0.3">
      <c r="B78" s="42" t="s">
        <v>193</v>
      </c>
      <c r="C78" s="25"/>
      <c r="D78" s="18"/>
      <c r="E78" s="46" t="s">
        <v>286</v>
      </c>
      <c r="F78" s="25"/>
      <c r="G78" s="25"/>
      <c r="H78" s="25"/>
      <c r="I78" s="18"/>
    </row>
    <row r="80" spans="2:9" s="1" customFormat="1" ht="18" customHeight="1" x14ac:dyDescent="0.3">
      <c r="B80" s="41" t="s">
        <v>207</v>
      </c>
      <c r="C80" s="25"/>
      <c r="D80" s="25"/>
      <c r="E80" s="25"/>
      <c r="F80" s="25"/>
      <c r="G80" s="25"/>
      <c r="H80" s="25"/>
      <c r="I80" s="18"/>
    </row>
    <row r="81" spans="2:9" s="1" customFormat="1" ht="18" customHeight="1" x14ac:dyDescent="0.3">
      <c r="B81" s="42" t="s">
        <v>185</v>
      </c>
      <c r="C81" s="25"/>
      <c r="D81" s="18"/>
      <c r="E81" s="37" t="s">
        <v>208</v>
      </c>
      <c r="F81" s="25"/>
      <c r="G81" s="25"/>
      <c r="H81" s="25"/>
      <c r="I81" s="18"/>
    </row>
    <row r="82" spans="2:9" s="1" customFormat="1" ht="18" customHeight="1" x14ac:dyDescent="0.3">
      <c r="B82" s="42" t="s">
        <v>187</v>
      </c>
      <c r="C82" s="25"/>
      <c r="D82" s="18"/>
      <c r="E82" s="37" t="s">
        <v>209</v>
      </c>
      <c r="F82" s="25"/>
      <c r="G82" s="25"/>
      <c r="H82" s="25"/>
      <c r="I82" s="18"/>
    </row>
    <row r="83" spans="2:9" s="1" customFormat="1" ht="18" customHeight="1" x14ac:dyDescent="0.3">
      <c r="B83" s="42" t="s">
        <v>189</v>
      </c>
      <c r="C83" s="25"/>
      <c r="D83" s="18"/>
      <c r="E83" s="37" t="s">
        <v>210</v>
      </c>
      <c r="F83" s="25"/>
      <c r="G83" s="25"/>
      <c r="H83" s="25"/>
      <c r="I83" s="18"/>
    </row>
    <row r="84" spans="2:9" s="1" customFormat="1" ht="18" customHeight="1" x14ac:dyDescent="0.3">
      <c r="B84" s="42" t="s">
        <v>191</v>
      </c>
      <c r="C84" s="25"/>
      <c r="D84" s="18"/>
      <c r="E84" s="37" t="s">
        <v>211</v>
      </c>
      <c r="F84" s="25"/>
      <c r="G84" s="25"/>
      <c r="H84" s="25"/>
      <c r="I84" s="18"/>
    </row>
    <row r="85" spans="2:9" s="1" customFormat="1" ht="18" customHeight="1" x14ac:dyDescent="0.3">
      <c r="B85" s="42" t="s">
        <v>193</v>
      </c>
      <c r="C85" s="25"/>
      <c r="D85" s="18"/>
      <c r="E85" s="37" t="s">
        <v>212</v>
      </c>
      <c r="F85" s="25"/>
      <c r="G85" s="25"/>
      <c r="H85" s="25"/>
      <c r="I85" s="18"/>
    </row>
    <row r="87" spans="2:9" s="1" customFormat="1" ht="18" customHeight="1" x14ac:dyDescent="0.3">
      <c r="B87" s="41" t="s">
        <v>213</v>
      </c>
      <c r="C87" s="25"/>
      <c r="D87" s="25"/>
      <c r="E87" s="25"/>
      <c r="F87" s="25"/>
      <c r="G87" s="25"/>
      <c r="H87" s="25"/>
      <c r="I87" s="18"/>
    </row>
    <row r="88" spans="2:9" s="1" customFormat="1" ht="18" customHeight="1" x14ac:dyDescent="0.3">
      <c r="B88" s="42" t="s">
        <v>185</v>
      </c>
      <c r="C88" s="25"/>
      <c r="D88" s="18"/>
      <c r="E88" s="37" t="s">
        <v>208</v>
      </c>
      <c r="F88" s="25"/>
      <c r="G88" s="25"/>
      <c r="H88" s="25"/>
      <c r="I88" s="18"/>
    </row>
    <row r="89" spans="2:9" s="1" customFormat="1" ht="18" customHeight="1" x14ac:dyDescent="0.3">
      <c r="B89" s="42" t="s">
        <v>187</v>
      </c>
      <c r="C89" s="25"/>
      <c r="D89" s="18"/>
      <c r="E89" s="37" t="s">
        <v>209</v>
      </c>
      <c r="F89" s="25"/>
      <c r="G89" s="25"/>
      <c r="H89" s="25"/>
      <c r="I89" s="18"/>
    </row>
    <row r="90" spans="2:9" s="1" customFormat="1" ht="18" customHeight="1" x14ac:dyDescent="0.3">
      <c r="B90" s="42" t="s">
        <v>189</v>
      </c>
      <c r="C90" s="25"/>
      <c r="D90" s="18"/>
      <c r="E90" s="37" t="s">
        <v>210</v>
      </c>
      <c r="F90" s="25"/>
      <c r="G90" s="25"/>
      <c r="H90" s="25"/>
      <c r="I90" s="18"/>
    </row>
    <row r="91" spans="2:9" s="1" customFormat="1" ht="18" customHeight="1" x14ac:dyDescent="0.3">
      <c r="B91" s="42" t="s">
        <v>191</v>
      </c>
      <c r="C91" s="25"/>
      <c r="D91" s="18"/>
      <c r="E91" s="37" t="s">
        <v>211</v>
      </c>
      <c r="F91" s="25"/>
      <c r="G91" s="25"/>
      <c r="H91" s="25"/>
      <c r="I91" s="18"/>
    </row>
    <row r="92" spans="2:9" s="1" customFormat="1" ht="18" customHeight="1" x14ac:dyDescent="0.3">
      <c r="B92" s="42" t="s">
        <v>193</v>
      </c>
      <c r="C92" s="25"/>
      <c r="D92" s="18"/>
      <c r="E92" s="37" t="s">
        <v>212</v>
      </c>
      <c r="F92" s="25"/>
      <c r="G92" s="25"/>
      <c r="H92" s="25"/>
      <c r="I92" s="18"/>
    </row>
    <row r="94" spans="2:9" s="1" customFormat="1" ht="15.75" customHeight="1" x14ac:dyDescent="0.3">
      <c r="B94" s="45" t="s">
        <v>287</v>
      </c>
      <c r="C94" s="25"/>
      <c r="D94" s="25"/>
      <c r="E94" s="25"/>
      <c r="F94" s="25"/>
      <c r="G94" s="25"/>
      <c r="H94" s="25"/>
      <c r="I94" s="18"/>
    </row>
  </sheetData>
  <mergeCells count="106">
    <mergeCell ref="B92:D92"/>
    <mergeCell ref="E92:I92"/>
    <mergeCell ref="B94:I94"/>
    <mergeCell ref="B87:I87"/>
    <mergeCell ref="B88:D88"/>
    <mergeCell ref="E88:I88"/>
    <mergeCell ref="B89:D89"/>
    <mergeCell ref="E89:I89"/>
    <mergeCell ref="B90:D90"/>
    <mergeCell ref="E90:I90"/>
    <mergeCell ref="B91:D91"/>
    <mergeCell ref="E91:I91"/>
    <mergeCell ref="B81:D81"/>
    <mergeCell ref="E81:I81"/>
    <mergeCell ref="B82:D82"/>
    <mergeCell ref="E82:I82"/>
    <mergeCell ref="B83:D83"/>
    <mergeCell ref="E83:I83"/>
    <mergeCell ref="B84:D84"/>
    <mergeCell ref="E84:I84"/>
    <mergeCell ref="B85:D85"/>
    <mergeCell ref="E85:I85"/>
    <mergeCell ref="B75:D75"/>
    <mergeCell ref="E75:I75"/>
    <mergeCell ref="B76:D76"/>
    <mergeCell ref="E76:I76"/>
    <mergeCell ref="B77:D77"/>
    <mergeCell ref="E77:I77"/>
    <mergeCell ref="B78:D78"/>
    <mergeCell ref="E78:I78"/>
    <mergeCell ref="B80:I80"/>
    <mergeCell ref="B69:D69"/>
    <mergeCell ref="E69:I69"/>
    <mergeCell ref="B70:D70"/>
    <mergeCell ref="E70:I70"/>
    <mergeCell ref="B71:D71"/>
    <mergeCell ref="E71:I71"/>
    <mergeCell ref="B73:I73"/>
    <mergeCell ref="B74:D74"/>
    <mergeCell ref="E74:I74"/>
    <mergeCell ref="B63:D63"/>
    <mergeCell ref="E63:I63"/>
    <mergeCell ref="B64:D64"/>
    <mergeCell ref="E64:I64"/>
    <mergeCell ref="B66:I66"/>
    <mergeCell ref="B67:D67"/>
    <mergeCell ref="E67:I67"/>
    <mergeCell ref="B68:D68"/>
    <mergeCell ref="E68:I68"/>
    <mergeCell ref="B57:I57"/>
    <mergeCell ref="B58:I58"/>
    <mergeCell ref="B59:I59"/>
    <mergeCell ref="B60:D60"/>
    <mergeCell ref="E60:I60"/>
    <mergeCell ref="B61:D61"/>
    <mergeCell ref="E61:I61"/>
    <mergeCell ref="B62:D62"/>
    <mergeCell ref="E62:I62"/>
    <mergeCell ref="B52:D52"/>
    <mergeCell ref="E52:I52"/>
    <mergeCell ref="B53:D53"/>
    <mergeCell ref="E53:I53"/>
    <mergeCell ref="B54:D54"/>
    <mergeCell ref="E54:I54"/>
    <mergeCell ref="B55:D55"/>
    <mergeCell ref="E55:I55"/>
    <mergeCell ref="E56:I56"/>
    <mergeCell ref="B47:D47"/>
    <mergeCell ref="E47:I47"/>
    <mergeCell ref="B48:D48"/>
    <mergeCell ref="E48:I48"/>
    <mergeCell ref="B49:D49"/>
    <mergeCell ref="E49:I49"/>
    <mergeCell ref="B50:D50"/>
    <mergeCell ref="E50:I50"/>
    <mergeCell ref="B51:D51"/>
    <mergeCell ref="E51:I51"/>
    <mergeCell ref="B42:D42"/>
    <mergeCell ref="E42:I42"/>
    <mergeCell ref="B43:D43"/>
    <mergeCell ref="E43:I43"/>
    <mergeCell ref="B44:D44"/>
    <mergeCell ref="E44:I44"/>
    <mergeCell ref="B45:D45"/>
    <mergeCell ref="E45:I45"/>
    <mergeCell ref="B46:D46"/>
    <mergeCell ref="E46:I46"/>
    <mergeCell ref="B24:I24"/>
    <mergeCell ref="B28:I28"/>
    <mergeCell ref="B32:I32"/>
    <mergeCell ref="B37:I37"/>
    <mergeCell ref="B38:I38"/>
    <mergeCell ref="E39:I39"/>
    <mergeCell ref="B40:D40"/>
    <mergeCell ref="E40:I40"/>
    <mergeCell ref="B41:D41"/>
    <mergeCell ref="E41:I41"/>
    <mergeCell ref="B2:I2"/>
    <mergeCell ref="B3:I3"/>
    <mergeCell ref="B5:I5"/>
    <mergeCell ref="B6:I6"/>
    <mergeCell ref="B17:I17"/>
    <mergeCell ref="B18:I18"/>
    <mergeCell ref="D19:F19"/>
    <mergeCell ref="G19:H19"/>
    <mergeCell ref="B20:I20"/>
  </mergeCells>
  <hyperlinks>
    <hyperlink ref="I10" r:id="rId1" xr:uid="{00000000-0004-0000-0300-000000000000}"/>
    <hyperlink ref="I11" r:id="rId2" xr:uid="{00000000-0004-0000-0300-000001000000}"/>
  </hyperlinks>
  <pageMargins left="0.75" right="0.75" top="1" bottom="1" header="0.511811023622047" footer="0.511811023622047"/>
  <pageSetup paperSize="9" orientation="portrait" useFirstPageNumber="1"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94"/>
  <sheetViews>
    <sheetView showGridLines="0" topLeftCell="A39" zoomScale="85" zoomScaleNormal="85" workbookViewId="0">
      <selection activeCell="E81" sqref="E81:I81"/>
    </sheetView>
  </sheetViews>
  <sheetFormatPr defaultColWidth="8.5546875" defaultRowHeight="14.4" customHeight="1" x14ac:dyDescent="0.3"/>
  <cols>
    <col min="1" max="1" width="3" style="1" customWidth="1"/>
    <col min="2" max="2" width="12" style="1" customWidth="1"/>
    <col min="3" max="3" width="6" style="1" customWidth="1"/>
    <col min="4" max="4" width="12.6640625" style="1" customWidth="1"/>
    <col min="5" max="5" width="32" style="1" customWidth="1"/>
    <col min="6" max="6" width="20" style="1" customWidth="1"/>
    <col min="7" max="7" width="12" style="1" customWidth="1"/>
    <col min="8" max="8" width="28" style="1" customWidth="1"/>
    <col min="9" max="9" width="22" style="1" customWidth="1"/>
  </cols>
  <sheetData>
    <row r="1" spans="2:9" s="1" customFormat="1" ht="13.5" customHeight="1" x14ac:dyDescent="0.3"/>
    <row r="2" spans="2:9" s="1" customFormat="1" ht="33.75" customHeight="1" x14ac:dyDescent="0.3">
      <c r="B2" s="28" t="s">
        <v>79</v>
      </c>
      <c r="C2" s="25"/>
      <c r="D2" s="25"/>
      <c r="E2" s="25"/>
      <c r="F2" s="25"/>
      <c r="G2" s="25"/>
      <c r="H2" s="25"/>
      <c r="I2" s="18"/>
    </row>
    <row r="3" spans="2:9" s="1" customFormat="1" ht="15.75" customHeight="1" x14ac:dyDescent="0.3">
      <c r="B3" s="29" t="s">
        <v>80</v>
      </c>
      <c r="C3" s="30"/>
      <c r="D3" s="30"/>
      <c r="E3" s="30"/>
      <c r="F3" s="30"/>
      <c r="G3" s="30"/>
      <c r="H3" s="30"/>
      <c r="I3" s="30"/>
    </row>
    <row r="5" spans="2:9" s="1" customFormat="1" ht="21.75" customHeight="1" x14ac:dyDescent="0.3">
      <c r="B5" s="21" t="s">
        <v>81</v>
      </c>
      <c r="C5" s="25"/>
      <c r="D5" s="25"/>
      <c r="E5" s="25"/>
      <c r="F5" s="25"/>
      <c r="G5" s="25"/>
      <c r="H5" s="25"/>
      <c r="I5" s="18"/>
    </row>
    <row r="6" spans="2:9" s="1" customFormat="1" ht="13.5" customHeight="1" x14ac:dyDescent="0.3">
      <c r="B6" s="31" t="s">
        <v>82</v>
      </c>
      <c r="C6" s="30"/>
      <c r="D6" s="30"/>
      <c r="E6" s="30"/>
      <c r="F6" s="30"/>
      <c r="G6" s="30"/>
      <c r="H6" s="30"/>
      <c r="I6" s="30"/>
    </row>
    <row r="7" spans="2:9" s="1" customFormat="1" ht="19.5" customHeight="1" x14ac:dyDescent="0.3">
      <c r="B7" s="4" t="s">
        <v>83</v>
      </c>
      <c r="C7" s="4" t="s">
        <v>84</v>
      </c>
      <c r="D7" s="4" t="s">
        <v>85</v>
      </c>
      <c r="E7" s="4" t="s">
        <v>86</v>
      </c>
      <c r="F7" s="4" t="s">
        <v>87</v>
      </c>
      <c r="G7" s="4" t="s">
        <v>88</v>
      </c>
      <c r="H7" s="4" t="s">
        <v>89</v>
      </c>
      <c r="I7" s="4" t="s">
        <v>90</v>
      </c>
    </row>
    <row r="8" spans="2:9" s="1" customFormat="1" ht="18" customHeight="1" x14ac:dyDescent="0.3">
      <c r="B8" s="2" t="s">
        <v>288</v>
      </c>
      <c r="C8" s="2" t="s">
        <v>52</v>
      </c>
      <c r="D8" s="9" t="s">
        <v>92</v>
      </c>
      <c r="E8" s="2" t="s">
        <v>289</v>
      </c>
      <c r="F8" s="2" t="s">
        <v>229</v>
      </c>
      <c r="G8" s="2" t="s">
        <v>95</v>
      </c>
      <c r="H8" s="2" t="s">
        <v>290</v>
      </c>
      <c r="I8" s="2" t="s">
        <v>291</v>
      </c>
    </row>
    <row r="9" spans="2:9" s="1" customFormat="1" ht="18" customHeight="1" x14ac:dyDescent="0.3">
      <c r="B9" s="2" t="s">
        <v>288</v>
      </c>
      <c r="C9" s="2" t="s">
        <v>52</v>
      </c>
      <c r="D9" s="9" t="s">
        <v>92</v>
      </c>
      <c r="E9" s="2" t="s">
        <v>292</v>
      </c>
      <c r="F9" s="2" t="s">
        <v>229</v>
      </c>
      <c r="G9" s="2" t="s">
        <v>100</v>
      </c>
      <c r="H9" s="2" t="s">
        <v>293</v>
      </c>
      <c r="I9" s="2" t="s">
        <v>294</v>
      </c>
    </row>
    <row r="10" spans="2:9" s="1" customFormat="1" ht="18" customHeight="1" x14ac:dyDescent="0.3">
      <c r="B10" s="2" t="s">
        <v>288</v>
      </c>
      <c r="C10" s="9" t="s">
        <v>57</v>
      </c>
      <c r="D10" s="9" t="s">
        <v>92</v>
      </c>
      <c r="E10" t="s">
        <v>295</v>
      </c>
      <c r="F10" s="9" t="s">
        <v>237</v>
      </c>
      <c r="G10" s="2" t="s">
        <v>100</v>
      </c>
      <c r="H10" s="9" t="s">
        <v>296</v>
      </c>
      <c r="I10" s="9" t="s">
        <v>297</v>
      </c>
    </row>
    <row r="11" spans="2:9" s="1" customFormat="1" ht="18" customHeight="1" x14ac:dyDescent="0.3">
      <c r="B11" s="10" t="s">
        <v>288</v>
      </c>
      <c r="C11" s="9" t="s">
        <v>57</v>
      </c>
      <c r="D11" s="9" t="s">
        <v>92</v>
      </c>
      <c r="E11" s="9" t="s">
        <v>298</v>
      </c>
      <c r="F11" s="9" t="s">
        <v>233</v>
      </c>
      <c r="G11" s="9" t="s">
        <v>100</v>
      </c>
      <c r="H11" s="9" t="s">
        <v>299</v>
      </c>
      <c r="I11" s="9" t="s">
        <v>300</v>
      </c>
    </row>
    <row r="12" spans="2:9" s="1" customFormat="1" ht="18" customHeight="1" x14ac:dyDescent="0.3">
      <c r="B12" s="10" t="s">
        <v>288</v>
      </c>
      <c r="C12" s="9" t="s">
        <v>62</v>
      </c>
      <c r="D12" s="9" t="s">
        <v>92</v>
      </c>
      <c r="E12" s="9" t="s">
        <v>301</v>
      </c>
      <c r="F12" s="9" t="s">
        <v>302</v>
      </c>
      <c r="G12" s="9" t="s">
        <v>95</v>
      </c>
      <c r="H12" s="9" t="s">
        <v>303</v>
      </c>
      <c r="I12" s="9" t="s">
        <v>304</v>
      </c>
    </row>
    <row r="13" spans="2:9" s="1" customFormat="1" ht="18" customHeight="1" x14ac:dyDescent="0.3">
      <c r="B13" s="10" t="s">
        <v>288</v>
      </c>
      <c r="C13" s="9" t="s">
        <v>62</v>
      </c>
      <c r="D13" s="9" t="s">
        <v>92</v>
      </c>
      <c r="E13" s="9" t="s">
        <v>305</v>
      </c>
      <c r="F13" s="9" t="s">
        <v>306</v>
      </c>
      <c r="G13" s="9" t="s">
        <v>105</v>
      </c>
      <c r="H13" s="9" t="s">
        <v>307</v>
      </c>
      <c r="I13" s="9" t="s">
        <v>308</v>
      </c>
    </row>
    <row r="14" spans="2:9" s="1" customFormat="1" ht="18" customHeight="1" x14ac:dyDescent="0.3">
      <c r="B14" s="2"/>
      <c r="C14" s="2"/>
      <c r="D14" s="2"/>
      <c r="E14" s="2"/>
      <c r="F14" s="2"/>
      <c r="G14" s="2"/>
      <c r="H14" s="2"/>
      <c r="I14" s="2"/>
    </row>
    <row r="15" spans="2:9" s="1" customFormat="1" ht="18" customHeight="1" x14ac:dyDescent="0.3">
      <c r="B15" s="2"/>
      <c r="C15" s="2"/>
      <c r="D15" s="2"/>
      <c r="E15" s="2"/>
      <c r="F15" s="2"/>
      <c r="G15" s="2"/>
      <c r="H15" s="2"/>
      <c r="I15" s="2"/>
    </row>
    <row r="17" spans="2:9" s="1" customFormat="1" ht="21.75" customHeight="1" x14ac:dyDescent="0.3">
      <c r="B17" s="23" t="s">
        <v>130</v>
      </c>
      <c r="C17" s="25"/>
      <c r="D17" s="25"/>
      <c r="E17" s="25"/>
      <c r="F17" s="25"/>
      <c r="G17" s="25"/>
      <c r="H17" s="25"/>
      <c r="I17" s="18"/>
    </row>
    <row r="18" spans="2:9" s="1" customFormat="1" ht="13.5" customHeight="1" x14ac:dyDescent="0.3">
      <c r="B18" s="31" t="s">
        <v>31</v>
      </c>
      <c r="C18" s="30"/>
      <c r="D18" s="30"/>
      <c r="E18" s="30"/>
      <c r="F18" s="30"/>
      <c r="G18" s="30"/>
      <c r="H18" s="30"/>
      <c r="I18" s="30"/>
    </row>
    <row r="19" spans="2:9" s="1" customFormat="1" ht="19.5" customHeight="1" x14ac:dyDescent="0.3">
      <c r="B19" s="11" t="s">
        <v>131</v>
      </c>
      <c r="C19" s="11" t="s">
        <v>84</v>
      </c>
      <c r="D19" s="32" t="s">
        <v>132</v>
      </c>
      <c r="E19" s="25"/>
      <c r="F19" s="18"/>
      <c r="G19" s="32" t="s">
        <v>133</v>
      </c>
      <c r="H19" s="18"/>
      <c r="I19" s="11" t="s">
        <v>51</v>
      </c>
    </row>
    <row r="20" spans="2:9" s="1" customFormat="1" ht="15.75" customHeight="1" x14ac:dyDescent="0.3">
      <c r="B20" s="33" t="s">
        <v>134</v>
      </c>
      <c r="C20" s="25"/>
      <c r="D20" s="25"/>
      <c r="E20" s="25"/>
      <c r="F20" s="25"/>
      <c r="G20" s="25"/>
      <c r="H20" s="25"/>
      <c r="I20" s="18"/>
    </row>
    <row r="21" spans="2:9" s="1" customFormat="1" ht="18" customHeight="1" x14ac:dyDescent="0.3">
      <c r="B21" s="2"/>
      <c r="C21" s="9" t="s">
        <v>52</v>
      </c>
      <c r="D21" s="2"/>
      <c r="E21" s="9" t="s">
        <v>309</v>
      </c>
      <c r="F21" s="2"/>
      <c r="G21" s="2"/>
      <c r="H21" s="9" t="s">
        <v>310</v>
      </c>
      <c r="I21" s="9" t="s">
        <v>311</v>
      </c>
    </row>
    <row r="22" spans="2:9" s="1" customFormat="1" ht="18" customHeight="1" x14ac:dyDescent="0.3">
      <c r="B22" s="2"/>
      <c r="C22" s="9" t="s">
        <v>62</v>
      </c>
      <c r="D22" s="2"/>
      <c r="E22" s="9" t="s">
        <v>312</v>
      </c>
      <c r="F22" s="2"/>
      <c r="G22" s="2"/>
      <c r="H22" s="9" t="s">
        <v>313</v>
      </c>
      <c r="I22" s="9" t="s">
        <v>314</v>
      </c>
    </row>
    <row r="23" spans="2:9" s="1" customFormat="1" ht="18" customHeight="1" x14ac:dyDescent="0.3">
      <c r="B23" s="2"/>
      <c r="C23" s="2"/>
      <c r="D23" s="2"/>
      <c r="E23" s="2"/>
      <c r="F23" s="2"/>
      <c r="G23" s="2"/>
      <c r="H23" s="2"/>
      <c r="I23" s="2"/>
    </row>
    <row r="24" spans="2:9" s="1" customFormat="1" ht="15.75" customHeight="1" x14ac:dyDescent="0.3">
      <c r="B24" s="33" t="s">
        <v>144</v>
      </c>
      <c r="C24" s="25"/>
      <c r="D24" s="25"/>
      <c r="E24" s="25"/>
      <c r="F24" s="25"/>
      <c r="G24" s="25"/>
      <c r="H24" s="25"/>
      <c r="I24" s="18"/>
    </row>
    <row r="25" spans="2:9" s="1" customFormat="1" ht="18" customHeight="1" x14ac:dyDescent="0.3">
      <c r="B25" s="2"/>
      <c r="C25" s="2" t="s">
        <v>52</v>
      </c>
      <c r="D25" s="9"/>
      <c r="E25" s="9" t="s">
        <v>315</v>
      </c>
      <c r="F25" s="2"/>
      <c r="G25" s="2" t="s">
        <v>229</v>
      </c>
      <c r="H25" s="2"/>
      <c r="I25" s="2" t="s">
        <v>316</v>
      </c>
    </row>
    <row r="26" spans="2:9" s="1" customFormat="1" ht="18" customHeight="1" x14ac:dyDescent="0.3">
      <c r="B26" s="2"/>
      <c r="C26" s="9" t="s">
        <v>62</v>
      </c>
      <c r="D26" s="9"/>
      <c r="E26" s="9" t="s">
        <v>317</v>
      </c>
      <c r="F26" s="2"/>
      <c r="G26" s="2"/>
      <c r="H26" s="9" t="s">
        <v>255</v>
      </c>
      <c r="I26" s="9" t="s">
        <v>318</v>
      </c>
    </row>
    <row r="27" spans="2:9" s="1" customFormat="1" ht="18" customHeight="1" x14ac:dyDescent="0.3">
      <c r="B27" s="2"/>
      <c r="C27" s="9" t="s">
        <v>57</v>
      </c>
      <c r="D27" s="9"/>
      <c r="E27" s="9" t="s">
        <v>319</v>
      </c>
      <c r="F27" s="2"/>
      <c r="G27" s="9" t="s">
        <v>320</v>
      </c>
      <c r="H27" s="2"/>
      <c r="I27" s="9" t="s">
        <v>321</v>
      </c>
    </row>
    <row r="28" spans="2:9" s="1" customFormat="1" ht="15.75" customHeight="1" x14ac:dyDescent="0.3">
      <c r="B28" s="47"/>
      <c r="C28" s="25"/>
      <c r="D28" s="25"/>
      <c r="E28" s="25"/>
      <c r="F28" s="25"/>
      <c r="G28" s="25"/>
      <c r="H28" s="25"/>
      <c r="I28" s="18"/>
    </row>
    <row r="29" spans="2:9" s="1" customFormat="1" ht="18" customHeight="1" x14ac:dyDescent="0.3">
      <c r="B29" s="2"/>
      <c r="C29" s="2" t="s">
        <v>52</v>
      </c>
      <c r="D29" s="2"/>
      <c r="E29" s="2" t="s">
        <v>322</v>
      </c>
      <c r="F29" s="2"/>
      <c r="G29" s="2"/>
      <c r="H29" s="2"/>
      <c r="I29" s="2"/>
    </row>
    <row r="30" spans="2:9" s="1" customFormat="1" ht="18" customHeight="1" x14ac:dyDescent="0.3">
      <c r="B30" s="2"/>
      <c r="C30" s="2"/>
      <c r="D30" s="2"/>
      <c r="E30" s="2"/>
      <c r="F30" s="2"/>
      <c r="G30" s="2"/>
      <c r="H30" s="2"/>
      <c r="I30" s="2"/>
    </row>
    <row r="31" spans="2:9" s="1" customFormat="1" ht="18" customHeight="1" x14ac:dyDescent="0.3">
      <c r="B31" s="2"/>
      <c r="C31" s="2"/>
      <c r="D31" s="2"/>
      <c r="E31" s="2"/>
      <c r="F31" s="2"/>
      <c r="G31" s="2"/>
      <c r="H31" s="2"/>
      <c r="I31" s="2"/>
    </row>
    <row r="32" spans="2:9" s="1" customFormat="1" ht="15.75" customHeight="1" x14ac:dyDescent="0.3">
      <c r="B32" s="33" t="s">
        <v>156</v>
      </c>
      <c r="C32" s="25"/>
      <c r="D32" s="25"/>
      <c r="E32" s="25"/>
      <c r="F32" s="25"/>
      <c r="G32" s="25"/>
      <c r="H32" s="25"/>
      <c r="I32" s="18"/>
    </row>
    <row r="33" spans="2:9" s="1" customFormat="1" ht="18" customHeight="1" x14ac:dyDescent="0.3">
      <c r="B33" s="2"/>
      <c r="C33" s="2"/>
      <c r="D33" s="2"/>
      <c r="E33" s="2"/>
      <c r="F33" s="2"/>
      <c r="G33" s="2"/>
      <c r="H33" s="2"/>
      <c r="I33" s="2"/>
    </row>
    <row r="34" spans="2:9" s="1" customFormat="1" ht="18" customHeight="1" x14ac:dyDescent="0.3">
      <c r="B34" s="2"/>
      <c r="C34" s="2"/>
      <c r="D34" s="2"/>
      <c r="E34" s="2"/>
      <c r="F34" s="2"/>
      <c r="G34" s="2"/>
      <c r="H34" s="2"/>
      <c r="I34" s="2"/>
    </row>
    <row r="35" spans="2:9" s="1" customFormat="1" ht="18" customHeight="1" x14ac:dyDescent="0.3">
      <c r="B35" s="2"/>
      <c r="C35" s="2"/>
      <c r="D35" s="2"/>
      <c r="E35" s="2"/>
      <c r="F35" s="2"/>
      <c r="G35" s="2"/>
      <c r="H35" s="2"/>
      <c r="I35" s="2"/>
    </row>
    <row r="37" spans="2:9" s="1" customFormat="1" ht="21.75" customHeight="1" x14ac:dyDescent="0.3">
      <c r="B37" s="22" t="s">
        <v>157</v>
      </c>
      <c r="C37" s="25"/>
      <c r="D37" s="25"/>
      <c r="E37" s="25"/>
      <c r="F37" s="25"/>
      <c r="G37" s="25"/>
      <c r="H37" s="25"/>
      <c r="I37" s="18"/>
    </row>
    <row r="38" spans="2:9" s="1" customFormat="1" ht="13.5" customHeight="1" x14ac:dyDescent="0.3">
      <c r="B38" s="31" t="s">
        <v>158</v>
      </c>
      <c r="C38" s="30"/>
      <c r="D38" s="30"/>
      <c r="E38" s="30"/>
      <c r="F38" s="30"/>
      <c r="G38" s="30"/>
      <c r="H38" s="30"/>
      <c r="I38" s="30"/>
    </row>
    <row r="39" spans="2:9" s="1" customFormat="1" ht="19.5" customHeight="1" x14ac:dyDescent="0.3">
      <c r="B39" s="12" t="s">
        <v>159</v>
      </c>
      <c r="C39" s="12" t="s">
        <v>160</v>
      </c>
      <c r="D39" s="12" t="s">
        <v>161</v>
      </c>
      <c r="E39" s="34" t="s">
        <v>162</v>
      </c>
      <c r="F39" s="25"/>
      <c r="G39" s="25"/>
      <c r="H39" s="25"/>
      <c r="I39" s="18"/>
    </row>
    <row r="40" spans="2:9" s="1" customFormat="1" ht="21.75" customHeight="1" x14ac:dyDescent="0.3">
      <c r="B40" s="35" t="s">
        <v>163</v>
      </c>
      <c r="C40" s="25"/>
      <c r="D40" s="18"/>
      <c r="E40" s="36" t="s">
        <v>323</v>
      </c>
      <c r="F40" s="25"/>
      <c r="G40" s="25"/>
      <c r="H40" s="25"/>
      <c r="I40" s="18"/>
    </row>
    <row r="41" spans="2:9" s="1" customFormat="1" ht="21.75" customHeight="1" x14ac:dyDescent="0.3">
      <c r="B41" s="37" t="s">
        <v>165</v>
      </c>
      <c r="C41" s="25"/>
      <c r="D41" s="18"/>
      <c r="E41" s="36" t="s">
        <v>324</v>
      </c>
      <c r="F41" s="25"/>
      <c r="G41" s="25"/>
      <c r="H41" s="25"/>
      <c r="I41" s="18"/>
    </row>
    <row r="42" spans="2:9" s="1" customFormat="1" ht="21.75" customHeight="1" x14ac:dyDescent="0.3">
      <c r="B42" s="37" t="s">
        <v>167</v>
      </c>
      <c r="C42" s="25"/>
      <c r="D42" s="18"/>
      <c r="E42" s="36" t="s">
        <v>325</v>
      </c>
      <c r="F42" s="25"/>
      <c r="G42" s="25"/>
      <c r="H42" s="25"/>
      <c r="I42" s="18"/>
    </row>
    <row r="43" spans="2:9" s="1" customFormat="1" ht="21.75" customHeight="1" x14ac:dyDescent="0.3">
      <c r="B43" s="37" t="s">
        <v>169</v>
      </c>
      <c r="C43" s="25"/>
      <c r="D43" s="18"/>
      <c r="E43" s="36" t="s">
        <v>326</v>
      </c>
      <c r="F43" s="25"/>
      <c r="G43" s="25"/>
      <c r="H43" s="25"/>
      <c r="I43" s="18"/>
    </row>
    <row r="44" spans="2:9" s="1" customFormat="1" ht="21.75" customHeight="1" x14ac:dyDescent="0.3">
      <c r="B44" s="38" t="s">
        <v>327</v>
      </c>
      <c r="C44" s="25"/>
      <c r="D44" s="18"/>
      <c r="E44" s="39" t="s">
        <v>328</v>
      </c>
      <c r="F44" s="25"/>
      <c r="G44" s="25"/>
      <c r="H44" s="25"/>
      <c r="I44" s="18"/>
    </row>
    <row r="45" spans="2:9" s="1" customFormat="1" ht="21.75" customHeight="1" x14ac:dyDescent="0.3">
      <c r="B45" s="37" t="s">
        <v>165</v>
      </c>
      <c r="C45" s="25"/>
      <c r="D45" s="18"/>
      <c r="E45" s="39" t="s">
        <v>329</v>
      </c>
      <c r="F45" s="25"/>
      <c r="G45" s="25"/>
      <c r="H45" s="25"/>
      <c r="I45" s="18"/>
    </row>
    <row r="46" spans="2:9" s="1" customFormat="1" ht="21.75" customHeight="1" x14ac:dyDescent="0.3">
      <c r="B46" s="37" t="s">
        <v>167</v>
      </c>
      <c r="C46" s="25"/>
      <c r="D46" s="18"/>
      <c r="E46" s="39" t="s">
        <v>330</v>
      </c>
      <c r="F46" s="25"/>
      <c r="G46" s="25"/>
      <c r="H46" s="25"/>
      <c r="I46" s="18"/>
    </row>
    <row r="47" spans="2:9" s="1" customFormat="1" ht="21.75" customHeight="1" x14ac:dyDescent="0.3">
      <c r="B47" s="37" t="s">
        <v>169</v>
      </c>
      <c r="C47" s="25"/>
      <c r="D47" s="18"/>
      <c r="E47" s="39" t="s">
        <v>331</v>
      </c>
      <c r="F47" s="25"/>
      <c r="G47" s="25"/>
      <c r="H47" s="25"/>
      <c r="I47" s="18"/>
    </row>
    <row r="48" spans="2:9" s="1" customFormat="1" ht="21.75" customHeight="1" x14ac:dyDescent="0.3">
      <c r="B48" s="38" t="s">
        <v>332</v>
      </c>
      <c r="C48" s="25"/>
      <c r="D48" s="18"/>
      <c r="E48" s="39" t="s">
        <v>333</v>
      </c>
      <c r="F48" s="25"/>
      <c r="G48" s="25"/>
      <c r="H48" s="25"/>
      <c r="I48" s="18"/>
    </row>
    <row r="49" spans="2:9" s="1" customFormat="1" ht="21.75" customHeight="1" x14ac:dyDescent="0.3">
      <c r="B49" s="37" t="s">
        <v>165</v>
      </c>
      <c r="C49" s="25"/>
      <c r="D49" s="18"/>
      <c r="E49" s="39" t="s">
        <v>334</v>
      </c>
      <c r="F49" s="25"/>
      <c r="G49" s="25"/>
      <c r="H49" s="25"/>
      <c r="I49" s="18"/>
    </row>
    <row r="50" spans="2:9" s="1" customFormat="1" ht="21.75" customHeight="1" x14ac:dyDescent="0.3">
      <c r="B50" s="37" t="s">
        <v>167</v>
      </c>
      <c r="C50" s="25"/>
      <c r="D50" s="18"/>
      <c r="E50" s="39" t="s">
        <v>335</v>
      </c>
      <c r="F50" s="25"/>
      <c r="G50" s="25"/>
      <c r="H50" s="25"/>
      <c r="I50" s="18"/>
    </row>
    <row r="51" spans="2:9" s="1" customFormat="1" ht="21.75" customHeight="1" x14ac:dyDescent="0.3">
      <c r="B51" s="37" t="s">
        <v>169</v>
      </c>
      <c r="C51" s="25"/>
      <c r="D51" s="18"/>
      <c r="E51" s="39" t="s">
        <v>336</v>
      </c>
      <c r="F51" s="25"/>
      <c r="G51" s="25"/>
      <c r="H51" s="25"/>
      <c r="I51" s="18"/>
    </row>
    <row r="52" spans="2:9" s="1" customFormat="1" ht="21.75" customHeight="1" x14ac:dyDescent="0.3">
      <c r="B52" s="35" t="s">
        <v>181</v>
      </c>
      <c r="C52" s="25"/>
      <c r="D52" s="18"/>
      <c r="E52" s="36"/>
      <c r="F52" s="25"/>
      <c r="G52" s="25"/>
      <c r="H52" s="25"/>
      <c r="I52" s="18"/>
    </row>
    <row r="53" spans="2:9" s="1" customFormat="1" ht="21.75" customHeight="1" x14ac:dyDescent="0.3">
      <c r="B53" s="37" t="s">
        <v>165</v>
      </c>
      <c r="C53" s="25"/>
      <c r="D53" s="18"/>
      <c r="E53" s="36"/>
      <c r="F53" s="25"/>
      <c r="G53" s="25"/>
      <c r="H53" s="25"/>
      <c r="I53" s="18"/>
    </row>
    <row r="54" spans="2:9" s="1" customFormat="1" ht="21.75" customHeight="1" x14ac:dyDescent="0.3">
      <c r="B54" s="37" t="s">
        <v>167</v>
      </c>
      <c r="C54" s="25"/>
      <c r="D54" s="18"/>
      <c r="E54" s="36"/>
      <c r="F54" s="25"/>
      <c r="G54" s="25"/>
      <c r="H54" s="25"/>
      <c r="I54" s="18"/>
    </row>
    <row r="55" spans="2:9" s="1" customFormat="1" ht="21.75" customHeight="1" x14ac:dyDescent="0.3">
      <c r="B55" s="37" t="s">
        <v>169</v>
      </c>
      <c r="C55" s="25"/>
      <c r="D55" s="18"/>
      <c r="E55" s="36"/>
      <c r="F55" s="25"/>
      <c r="G55" s="25"/>
      <c r="H55" s="25"/>
      <c r="I55" s="18"/>
    </row>
    <row r="56" spans="2:9" x14ac:dyDescent="0.3">
      <c r="E56" s="36"/>
      <c r="F56" s="25"/>
      <c r="G56" s="25"/>
      <c r="H56" s="25"/>
      <c r="I56" s="18"/>
    </row>
    <row r="57" spans="2:9" s="1" customFormat="1" ht="21.75" customHeight="1" x14ac:dyDescent="0.3">
      <c r="B57" s="40" t="s">
        <v>182</v>
      </c>
      <c r="C57" s="25"/>
      <c r="D57" s="25"/>
      <c r="E57" s="25"/>
      <c r="F57" s="25"/>
      <c r="G57" s="25"/>
      <c r="H57" s="25"/>
      <c r="I57" s="18"/>
    </row>
    <row r="58" spans="2:9" s="1" customFormat="1" ht="13.5" customHeight="1" x14ac:dyDescent="0.3">
      <c r="B58" s="31" t="s">
        <v>183</v>
      </c>
      <c r="C58" s="30"/>
      <c r="D58" s="30"/>
      <c r="E58" s="30"/>
      <c r="F58" s="30"/>
      <c r="G58" s="30"/>
      <c r="H58" s="30"/>
      <c r="I58" s="30"/>
    </row>
    <row r="59" spans="2:9" s="1" customFormat="1" ht="18" customHeight="1" x14ac:dyDescent="0.3">
      <c r="B59" s="41" t="s">
        <v>184</v>
      </c>
      <c r="C59" s="25"/>
      <c r="D59" s="25"/>
      <c r="E59" s="25"/>
      <c r="F59" s="25"/>
      <c r="G59" s="25"/>
      <c r="H59" s="25"/>
      <c r="I59" s="18"/>
    </row>
    <row r="60" spans="2:9" s="1" customFormat="1" ht="18" customHeight="1" x14ac:dyDescent="0.3">
      <c r="B60" s="42" t="s">
        <v>185</v>
      </c>
      <c r="C60" s="25"/>
      <c r="D60" s="18"/>
      <c r="E60" s="43" t="s">
        <v>337</v>
      </c>
      <c r="F60" s="30"/>
      <c r="G60" s="30"/>
      <c r="H60" s="30"/>
      <c r="I60" s="30"/>
    </row>
    <row r="61" spans="2:9" s="1" customFormat="1" ht="18" customHeight="1" x14ac:dyDescent="0.3">
      <c r="B61" s="42" t="s">
        <v>187</v>
      </c>
      <c r="C61" s="25"/>
      <c r="D61" s="18"/>
      <c r="E61" s="43" t="s">
        <v>338</v>
      </c>
      <c r="F61" s="30"/>
      <c r="G61" s="30"/>
      <c r="H61" s="30"/>
      <c r="I61" s="30"/>
    </row>
    <row r="62" spans="2:9" s="1" customFormat="1" ht="18" customHeight="1" x14ac:dyDescent="0.3">
      <c r="B62" s="42" t="s">
        <v>189</v>
      </c>
      <c r="C62" s="25"/>
      <c r="D62" s="18"/>
      <c r="E62" s="43" t="s">
        <v>339</v>
      </c>
      <c r="F62" s="30"/>
      <c r="G62" s="30"/>
      <c r="H62" s="30"/>
      <c r="I62" s="30"/>
    </row>
    <row r="63" spans="2:9" s="1" customFormat="1" ht="18" customHeight="1" x14ac:dyDescent="0.3">
      <c r="B63" s="42" t="s">
        <v>191</v>
      </c>
      <c r="C63" s="25"/>
      <c r="D63" s="18"/>
      <c r="E63" s="43" t="s">
        <v>340</v>
      </c>
      <c r="F63" s="30"/>
      <c r="G63" s="30"/>
      <c r="H63" s="30"/>
      <c r="I63" s="30"/>
    </row>
    <row r="64" spans="2:9" s="1" customFormat="1" ht="18" customHeight="1" x14ac:dyDescent="0.3">
      <c r="B64" s="42" t="s">
        <v>193</v>
      </c>
      <c r="C64" s="25"/>
      <c r="D64" s="18"/>
      <c r="E64" s="43" t="s">
        <v>341</v>
      </c>
      <c r="F64" s="30"/>
      <c r="G64" s="30"/>
      <c r="H64" s="30"/>
      <c r="I64" s="30"/>
    </row>
    <row r="66" spans="2:9" s="1" customFormat="1" ht="18" customHeight="1" x14ac:dyDescent="0.3">
      <c r="B66" s="41" t="s">
        <v>195</v>
      </c>
      <c r="C66" s="25"/>
      <c r="D66" s="25"/>
      <c r="E66" s="25"/>
      <c r="F66" s="25"/>
      <c r="G66" s="25"/>
      <c r="H66" s="25"/>
      <c r="I66" s="18"/>
    </row>
    <row r="67" spans="2:9" s="1" customFormat="1" ht="18" customHeight="1" x14ac:dyDescent="0.3">
      <c r="B67" s="42" t="s">
        <v>185</v>
      </c>
      <c r="C67" s="25"/>
      <c r="D67" s="18"/>
      <c r="E67" s="44" t="s">
        <v>342</v>
      </c>
      <c r="F67" s="30"/>
      <c r="G67" s="30"/>
      <c r="H67" s="30"/>
      <c r="I67" s="30"/>
    </row>
    <row r="68" spans="2:9" s="1" customFormat="1" ht="18" customHeight="1" x14ac:dyDescent="0.3">
      <c r="B68" s="42" t="s">
        <v>187</v>
      </c>
      <c r="C68" s="25"/>
      <c r="D68" s="18"/>
      <c r="E68" s="44" t="s">
        <v>343</v>
      </c>
      <c r="F68" s="30"/>
      <c r="G68" s="30"/>
      <c r="H68" s="30"/>
      <c r="I68" s="30"/>
    </row>
    <row r="69" spans="2:9" s="1" customFormat="1" ht="18" customHeight="1" x14ac:dyDescent="0.3">
      <c r="B69" s="42" t="s">
        <v>189</v>
      </c>
      <c r="C69" s="25"/>
      <c r="D69" s="18"/>
      <c r="E69" s="44" t="s">
        <v>344</v>
      </c>
      <c r="F69" s="30"/>
      <c r="G69" s="30"/>
      <c r="H69" s="30"/>
      <c r="I69" s="30"/>
    </row>
    <row r="70" spans="2:9" s="1" customFormat="1" ht="18" customHeight="1" x14ac:dyDescent="0.3">
      <c r="B70" s="42" t="s">
        <v>191</v>
      </c>
      <c r="C70" s="25"/>
      <c r="D70" s="18"/>
      <c r="E70" s="44" t="s">
        <v>345</v>
      </c>
      <c r="F70" s="30"/>
      <c r="G70" s="30"/>
      <c r="H70" s="30"/>
      <c r="I70" s="30"/>
    </row>
    <row r="71" spans="2:9" s="1" customFormat="1" ht="18" customHeight="1" x14ac:dyDescent="0.3">
      <c r="B71" s="42" t="s">
        <v>193</v>
      </c>
      <c r="C71" s="25"/>
      <c r="D71" s="18"/>
      <c r="E71" s="44" t="s">
        <v>346</v>
      </c>
      <c r="F71" s="30"/>
      <c r="G71" s="30"/>
      <c r="H71" s="30"/>
      <c r="I71" s="30"/>
    </row>
    <row r="73" spans="2:9" s="1" customFormat="1" ht="18" customHeight="1" x14ac:dyDescent="0.3">
      <c r="B73" s="41" t="s">
        <v>201</v>
      </c>
      <c r="C73" s="25"/>
      <c r="D73" s="25"/>
      <c r="E73" s="25"/>
      <c r="F73" s="25"/>
      <c r="G73" s="25"/>
      <c r="H73" s="25"/>
      <c r="I73" s="18"/>
    </row>
    <row r="74" spans="2:9" s="1" customFormat="1" ht="18" customHeight="1" x14ac:dyDescent="0.3">
      <c r="B74" s="42" t="s">
        <v>185</v>
      </c>
      <c r="C74" s="25"/>
      <c r="D74" s="18"/>
      <c r="E74" s="46" t="s">
        <v>347</v>
      </c>
      <c r="F74" s="25"/>
      <c r="G74" s="25"/>
      <c r="H74" s="25"/>
      <c r="I74" s="18"/>
    </row>
    <row r="75" spans="2:9" s="1" customFormat="1" ht="18" customHeight="1" x14ac:dyDescent="0.3">
      <c r="B75" s="42" t="s">
        <v>187</v>
      </c>
      <c r="C75" s="25"/>
      <c r="D75" s="18"/>
      <c r="E75" s="46" t="s">
        <v>348</v>
      </c>
      <c r="F75" s="25"/>
      <c r="G75" s="25"/>
      <c r="H75" s="25"/>
      <c r="I75" s="18"/>
    </row>
    <row r="76" spans="2:9" s="1" customFormat="1" ht="18" customHeight="1" x14ac:dyDescent="0.3">
      <c r="B76" s="42" t="s">
        <v>189</v>
      </c>
      <c r="C76" s="25"/>
      <c r="D76" s="18"/>
      <c r="E76" s="46" t="s">
        <v>349</v>
      </c>
      <c r="F76" s="25"/>
      <c r="G76" s="25"/>
      <c r="H76" s="25"/>
      <c r="I76" s="18"/>
    </row>
    <row r="77" spans="2:9" s="1" customFormat="1" ht="18" customHeight="1" x14ac:dyDescent="0.3">
      <c r="B77" s="42" t="s">
        <v>191</v>
      </c>
      <c r="C77" s="25"/>
      <c r="D77" s="18"/>
      <c r="E77" s="46" t="s">
        <v>350</v>
      </c>
      <c r="F77" s="25"/>
      <c r="G77" s="25"/>
      <c r="H77" s="25"/>
      <c r="I77" s="18"/>
    </row>
    <row r="78" spans="2:9" s="1" customFormat="1" ht="18" customHeight="1" x14ac:dyDescent="0.3">
      <c r="B78" s="42" t="s">
        <v>193</v>
      </c>
      <c r="C78" s="25"/>
      <c r="D78" s="18"/>
      <c r="E78" s="46" t="s">
        <v>351</v>
      </c>
      <c r="F78" s="25"/>
      <c r="G78" s="25"/>
      <c r="H78" s="25"/>
      <c r="I78" s="18"/>
    </row>
    <row r="80" spans="2:9" s="1" customFormat="1" ht="18" customHeight="1" x14ac:dyDescent="0.3">
      <c r="B80" s="41" t="s">
        <v>207</v>
      </c>
      <c r="C80" s="25"/>
      <c r="D80" s="25"/>
      <c r="E80" s="25"/>
      <c r="F80" s="25"/>
      <c r="G80" s="25"/>
      <c r="H80" s="25"/>
      <c r="I80" s="18"/>
    </row>
    <row r="81" spans="2:9" s="1" customFormat="1" ht="18" customHeight="1" x14ac:dyDescent="0.3">
      <c r="B81" s="42" t="s">
        <v>185</v>
      </c>
      <c r="C81" s="25"/>
      <c r="D81" s="18"/>
      <c r="E81" s="37" t="s">
        <v>208</v>
      </c>
      <c r="F81" s="25"/>
      <c r="G81" s="25"/>
      <c r="H81" s="25"/>
      <c r="I81" s="18"/>
    </row>
    <row r="82" spans="2:9" s="1" customFormat="1" ht="18" customHeight="1" x14ac:dyDescent="0.3">
      <c r="B82" s="42" t="s">
        <v>187</v>
      </c>
      <c r="C82" s="25"/>
      <c r="D82" s="18"/>
      <c r="E82" s="37" t="s">
        <v>209</v>
      </c>
      <c r="F82" s="25"/>
      <c r="G82" s="25"/>
      <c r="H82" s="25"/>
      <c r="I82" s="18"/>
    </row>
    <row r="83" spans="2:9" s="1" customFormat="1" ht="18" customHeight="1" x14ac:dyDescent="0.3">
      <c r="B83" s="42" t="s">
        <v>189</v>
      </c>
      <c r="C83" s="25"/>
      <c r="D83" s="18"/>
      <c r="E83" s="37" t="s">
        <v>210</v>
      </c>
      <c r="F83" s="25"/>
      <c r="G83" s="25"/>
      <c r="H83" s="25"/>
      <c r="I83" s="18"/>
    </row>
    <row r="84" spans="2:9" s="1" customFormat="1" ht="18" customHeight="1" x14ac:dyDescent="0.3">
      <c r="B84" s="42" t="s">
        <v>191</v>
      </c>
      <c r="C84" s="25"/>
      <c r="D84" s="18"/>
      <c r="E84" s="37" t="s">
        <v>211</v>
      </c>
      <c r="F84" s="25"/>
      <c r="G84" s="25"/>
      <c r="H84" s="25"/>
      <c r="I84" s="18"/>
    </row>
    <row r="85" spans="2:9" s="1" customFormat="1" ht="18" customHeight="1" x14ac:dyDescent="0.3">
      <c r="B85" s="42" t="s">
        <v>193</v>
      </c>
      <c r="C85" s="25"/>
      <c r="D85" s="18"/>
      <c r="E85" s="37" t="s">
        <v>212</v>
      </c>
      <c r="F85" s="25"/>
      <c r="G85" s="25"/>
      <c r="H85" s="25"/>
      <c r="I85" s="18"/>
    </row>
    <row r="87" spans="2:9" s="1" customFormat="1" ht="18" customHeight="1" x14ac:dyDescent="0.3">
      <c r="B87" s="41" t="s">
        <v>213</v>
      </c>
      <c r="C87" s="25"/>
      <c r="D87" s="25"/>
      <c r="E87" s="25"/>
      <c r="F87" s="25"/>
      <c r="G87" s="25"/>
      <c r="H87" s="25"/>
      <c r="I87" s="18"/>
    </row>
    <row r="88" spans="2:9" s="1" customFormat="1" ht="18" customHeight="1" x14ac:dyDescent="0.3">
      <c r="B88" s="42" t="s">
        <v>185</v>
      </c>
      <c r="C88" s="25"/>
      <c r="D88" s="18"/>
      <c r="E88" s="37" t="s">
        <v>208</v>
      </c>
      <c r="F88" s="25"/>
      <c r="G88" s="25"/>
      <c r="H88" s="25"/>
      <c r="I88" s="18"/>
    </row>
    <row r="89" spans="2:9" s="1" customFormat="1" ht="18" customHeight="1" x14ac:dyDescent="0.3">
      <c r="B89" s="42" t="s">
        <v>187</v>
      </c>
      <c r="C89" s="25"/>
      <c r="D89" s="18"/>
      <c r="E89" s="37" t="s">
        <v>209</v>
      </c>
      <c r="F89" s="25"/>
      <c r="G89" s="25"/>
      <c r="H89" s="25"/>
      <c r="I89" s="18"/>
    </row>
    <row r="90" spans="2:9" s="1" customFormat="1" ht="18" customHeight="1" x14ac:dyDescent="0.3">
      <c r="B90" s="42" t="s">
        <v>189</v>
      </c>
      <c r="C90" s="25"/>
      <c r="D90" s="18"/>
      <c r="E90" s="37" t="s">
        <v>210</v>
      </c>
      <c r="F90" s="25"/>
      <c r="G90" s="25"/>
      <c r="H90" s="25"/>
      <c r="I90" s="18"/>
    </row>
    <row r="91" spans="2:9" s="1" customFormat="1" ht="18" customHeight="1" x14ac:dyDescent="0.3">
      <c r="B91" s="42" t="s">
        <v>191</v>
      </c>
      <c r="C91" s="25"/>
      <c r="D91" s="18"/>
      <c r="E91" s="37" t="s">
        <v>211</v>
      </c>
      <c r="F91" s="25"/>
      <c r="G91" s="25"/>
      <c r="H91" s="25"/>
      <c r="I91" s="18"/>
    </row>
    <row r="92" spans="2:9" s="1" customFormat="1" ht="18" customHeight="1" x14ac:dyDescent="0.3">
      <c r="B92" s="42" t="s">
        <v>193</v>
      </c>
      <c r="C92" s="25"/>
      <c r="D92" s="18"/>
      <c r="E92" s="37" t="s">
        <v>212</v>
      </c>
      <c r="F92" s="25"/>
      <c r="G92" s="25"/>
      <c r="H92" s="25"/>
      <c r="I92" s="18"/>
    </row>
    <row r="94" spans="2:9" s="1" customFormat="1" ht="15.75" customHeight="1" x14ac:dyDescent="0.3">
      <c r="B94" s="45" t="s">
        <v>352</v>
      </c>
      <c r="C94" s="25"/>
      <c r="D94" s="25"/>
      <c r="E94" s="25"/>
      <c r="F94" s="25"/>
      <c r="G94" s="25"/>
      <c r="H94" s="25"/>
      <c r="I94" s="18"/>
    </row>
  </sheetData>
  <mergeCells count="106">
    <mergeCell ref="B92:D92"/>
    <mergeCell ref="E92:I92"/>
    <mergeCell ref="B94:I94"/>
    <mergeCell ref="B87:I87"/>
    <mergeCell ref="B88:D88"/>
    <mergeCell ref="E88:I88"/>
    <mergeCell ref="B89:D89"/>
    <mergeCell ref="E89:I89"/>
    <mergeCell ref="B90:D90"/>
    <mergeCell ref="E90:I90"/>
    <mergeCell ref="B91:D91"/>
    <mergeCell ref="E91:I91"/>
    <mergeCell ref="B81:D81"/>
    <mergeCell ref="E81:I81"/>
    <mergeCell ref="B82:D82"/>
    <mergeCell ref="E82:I82"/>
    <mergeCell ref="B83:D83"/>
    <mergeCell ref="E83:I83"/>
    <mergeCell ref="B84:D84"/>
    <mergeCell ref="E84:I84"/>
    <mergeCell ref="B85:D85"/>
    <mergeCell ref="E85:I85"/>
    <mergeCell ref="B75:D75"/>
    <mergeCell ref="E75:I75"/>
    <mergeCell ref="B76:D76"/>
    <mergeCell ref="E76:I76"/>
    <mergeCell ref="B77:D77"/>
    <mergeCell ref="E77:I77"/>
    <mergeCell ref="B78:D78"/>
    <mergeCell ref="E78:I78"/>
    <mergeCell ref="B80:I80"/>
    <mergeCell ref="B69:D69"/>
    <mergeCell ref="E69:I69"/>
    <mergeCell ref="B70:D70"/>
    <mergeCell ref="E70:I70"/>
    <mergeCell ref="B71:D71"/>
    <mergeCell ref="E71:I71"/>
    <mergeCell ref="B73:I73"/>
    <mergeCell ref="B74:D74"/>
    <mergeCell ref="E74:I74"/>
    <mergeCell ref="B63:D63"/>
    <mergeCell ref="E63:I63"/>
    <mergeCell ref="B64:D64"/>
    <mergeCell ref="E64:I64"/>
    <mergeCell ref="B66:I66"/>
    <mergeCell ref="B67:D67"/>
    <mergeCell ref="E67:I67"/>
    <mergeCell ref="B68:D68"/>
    <mergeCell ref="E68:I68"/>
    <mergeCell ref="B57:I57"/>
    <mergeCell ref="B58:I58"/>
    <mergeCell ref="B59:I59"/>
    <mergeCell ref="B60:D60"/>
    <mergeCell ref="E60:I60"/>
    <mergeCell ref="B61:D61"/>
    <mergeCell ref="E61:I61"/>
    <mergeCell ref="B62:D62"/>
    <mergeCell ref="E62:I62"/>
    <mergeCell ref="B52:D52"/>
    <mergeCell ref="E52:I52"/>
    <mergeCell ref="B53:D53"/>
    <mergeCell ref="E53:I53"/>
    <mergeCell ref="B54:D54"/>
    <mergeCell ref="E54:I54"/>
    <mergeCell ref="B55:D55"/>
    <mergeCell ref="E55:I55"/>
    <mergeCell ref="E56:I56"/>
    <mergeCell ref="B47:D47"/>
    <mergeCell ref="E47:I47"/>
    <mergeCell ref="B48:D48"/>
    <mergeCell ref="E48:I48"/>
    <mergeCell ref="B49:D49"/>
    <mergeCell ref="E49:I49"/>
    <mergeCell ref="B50:D50"/>
    <mergeCell ref="E50:I50"/>
    <mergeCell ref="B51:D51"/>
    <mergeCell ref="E51:I51"/>
    <mergeCell ref="B42:D42"/>
    <mergeCell ref="E42:I42"/>
    <mergeCell ref="B43:D43"/>
    <mergeCell ref="E43:I43"/>
    <mergeCell ref="B44:D44"/>
    <mergeCell ref="E44:I44"/>
    <mergeCell ref="B45:D45"/>
    <mergeCell ref="E45:I45"/>
    <mergeCell ref="B46:D46"/>
    <mergeCell ref="E46:I46"/>
    <mergeCell ref="B24:I24"/>
    <mergeCell ref="B28:I28"/>
    <mergeCell ref="B32:I32"/>
    <mergeCell ref="B37:I37"/>
    <mergeCell ref="B38:I38"/>
    <mergeCell ref="E39:I39"/>
    <mergeCell ref="B40:D40"/>
    <mergeCell ref="E40:I40"/>
    <mergeCell ref="B41:D41"/>
    <mergeCell ref="E41:I41"/>
    <mergeCell ref="B2:I2"/>
    <mergeCell ref="B3:I3"/>
    <mergeCell ref="B5:I5"/>
    <mergeCell ref="B6:I6"/>
    <mergeCell ref="B17:I17"/>
    <mergeCell ref="B18:I18"/>
    <mergeCell ref="D19:F19"/>
    <mergeCell ref="G19:H19"/>
    <mergeCell ref="B20:I20"/>
  </mergeCells>
  <pageMargins left="0.75" right="0.75" top="1" bottom="1" header="0.511811023622047" footer="0.511811023622047"/>
  <pageSetup paperSize="9" orientation="portrait" useFirstPageNumber="1"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94"/>
  <sheetViews>
    <sheetView showGridLines="0" zoomScaleNormal="100" workbookViewId="0">
      <selection activeCell="E71" sqref="E71"/>
    </sheetView>
  </sheetViews>
  <sheetFormatPr defaultColWidth="8.5546875" defaultRowHeight="14.4" customHeight="1" x14ac:dyDescent="0.3"/>
  <cols>
    <col min="1" max="1" width="3" style="1" customWidth="1"/>
    <col min="2" max="2" width="12" style="1" customWidth="1"/>
    <col min="3" max="3" width="6" style="1" customWidth="1"/>
    <col min="4" max="4" width="12.6640625" style="1" customWidth="1"/>
    <col min="5" max="5" width="32" style="1" customWidth="1"/>
    <col min="6" max="6" width="20" style="1" customWidth="1"/>
    <col min="7" max="7" width="12" style="1" customWidth="1"/>
    <col min="8" max="8" width="28" style="1" customWidth="1"/>
    <col min="9" max="9" width="22" style="1" customWidth="1"/>
  </cols>
  <sheetData>
    <row r="1" spans="2:9" s="1" customFormat="1" ht="13.5" customHeight="1" x14ac:dyDescent="0.3"/>
    <row r="2" spans="2:9" s="1" customFormat="1" ht="33.75" customHeight="1" x14ac:dyDescent="0.3">
      <c r="B2" s="28" t="s">
        <v>79</v>
      </c>
      <c r="C2" s="25"/>
      <c r="D2" s="25"/>
      <c r="E2" s="25"/>
      <c r="F2" s="25"/>
      <c r="G2" s="25"/>
      <c r="H2" s="25"/>
      <c r="I2" s="18"/>
    </row>
    <row r="3" spans="2:9" s="1" customFormat="1" ht="15.75" customHeight="1" x14ac:dyDescent="0.3">
      <c r="B3" s="29" t="s">
        <v>80</v>
      </c>
      <c r="C3" s="30"/>
      <c r="D3" s="30"/>
      <c r="E3" s="30"/>
      <c r="F3" s="30"/>
      <c r="G3" s="30"/>
      <c r="H3" s="30"/>
      <c r="I3" s="30"/>
    </row>
    <row r="5" spans="2:9" s="1" customFormat="1" ht="21.75" customHeight="1" x14ac:dyDescent="0.3">
      <c r="B5" s="21" t="s">
        <v>81</v>
      </c>
      <c r="C5" s="25"/>
      <c r="D5" s="25"/>
      <c r="E5" s="25"/>
      <c r="F5" s="25"/>
      <c r="G5" s="25"/>
      <c r="H5" s="25"/>
      <c r="I5" s="18"/>
    </row>
    <row r="6" spans="2:9" s="1" customFormat="1" ht="13.5" customHeight="1" x14ac:dyDescent="0.3">
      <c r="B6" s="31" t="s">
        <v>82</v>
      </c>
      <c r="C6" s="30"/>
      <c r="D6" s="30"/>
      <c r="E6" s="30"/>
      <c r="F6" s="30"/>
      <c r="G6" s="30"/>
      <c r="H6" s="30"/>
      <c r="I6" s="30"/>
    </row>
    <row r="7" spans="2:9" s="1" customFormat="1" ht="19.5" customHeight="1" x14ac:dyDescent="0.3">
      <c r="B7" s="4" t="s">
        <v>83</v>
      </c>
      <c r="C7" s="4" t="s">
        <v>84</v>
      </c>
      <c r="D7" s="4" t="s">
        <v>85</v>
      </c>
      <c r="E7" s="4" t="s">
        <v>86</v>
      </c>
      <c r="F7" s="4" t="s">
        <v>87</v>
      </c>
      <c r="G7" s="4" t="s">
        <v>88</v>
      </c>
      <c r="H7" s="4" t="s">
        <v>89</v>
      </c>
      <c r="I7" s="4" t="s">
        <v>90</v>
      </c>
    </row>
    <row r="8" spans="2:9" s="1" customFormat="1" ht="18" customHeight="1" x14ac:dyDescent="0.3">
      <c r="B8" s="2" t="s">
        <v>353</v>
      </c>
      <c r="C8" s="2" t="s">
        <v>52</v>
      </c>
      <c r="D8" s="2" t="s">
        <v>92</v>
      </c>
      <c r="E8" s="2" t="s">
        <v>354</v>
      </c>
      <c r="F8" s="2" t="s">
        <v>355</v>
      </c>
      <c r="G8" s="2" t="s">
        <v>95</v>
      </c>
      <c r="H8" s="2" t="s">
        <v>356</v>
      </c>
      <c r="I8" s="2" t="s">
        <v>357</v>
      </c>
    </row>
    <row r="9" spans="2:9" s="1" customFormat="1" ht="18" customHeight="1" x14ac:dyDescent="0.3">
      <c r="B9" s="2" t="s">
        <v>353</v>
      </c>
      <c r="C9" s="2" t="s">
        <v>52</v>
      </c>
      <c r="D9" s="2" t="s">
        <v>92</v>
      </c>
      <c r="E9" s="2" t="s">
        <v>358</v>
      </c>
      <c r="F9" s="2" t="s">
        <v>355</v>
      </c>
      <c r="G9" s="2" t="s">
        <v>100</v>
      </c>
      <c r="H9" s="2" t="s">
        <v>359</v>
      </c>
      <c r="I9" s="2" t="s">
        <v>360</v>
      </c>
    </row>
    <row r="10" spans="2:9" s="1" customFormat="1" ht="18" customHeight="1" x14ac:dyDescent="0.3">
      <c r="B10" s="2" t="s">
        <v>353</v>
      </c>
      <c r="C10" s="2" t="s">
        <v>57</v>
      </c>
      <c r="D10" s="2" t="s">
        <v>92</v>
      </c>
      <c r="E10" s="2" t="s">
        <v>361</v>
      </c>
      <c r="F10" s="2" t="s">
        <v>362</v>
      </c>
      <c r="G10" s="2" t="s">
        <v>95</v>
      </c>
      <c r="H10" s="2" t="s">
        <v>363</v>
      </c>
      <c r="I10" s="2" t="s">
        <v>364</v>
      </c>
    </row>
    <row r="11" spans="2:9" s="1" customFormat="1" ht="18" customHeight="1" x14ac:dyDescent="0.3">
      <c r="B11" s="2" t="s">
        <v>353</v>
      </c>
      <c r="C11" s="2" t="s">
        <v>57</v>
      </c>
      <c r="D11" s="2" t="s">
        <v>92</v>
      </c>
      <c r="E11" s="2" t="s">
        <v>365</v>
      </c>
      <c r="F11" s="2" t="s">
        <v>217</v>
      </c>
      <c r="G11" s="2" t="s">
        <v>100</v>
      </c>
      <c r="H11" s="2" t="s">
        <v>366</v>
      </c>
      <c r="I11" s="2" t="s">
        <v>367</v>
      </c>
    </row>
    <row r="12" spans="2:9" s="1" customFormat="1" ht="18" customHeight="1" x14ac:dyDescent="0.3">
      <c r="B12" s="2" t="s">
        <v>353</v>
      </c>
      <c r="C12" s="2" t="s">
        <v>62</v>
      </c>
      <c r="D12" s="2" t="s">
        <v>92</v>
      </c>
      <c r="E12" s="2" t="s">
        <v>368</v>
      </c>
      <c r="F12" s="2" t="s">
        <v>362</v>
      </c>
      <c r="G12" s="2" t="s">
        <v>95</v>
      </c>
      <c r="H12" s="2" t="s">
        <v>369</v>
      </c>
      <c r="I12" s="2" t="s">
        <v>370</v>
      </c>
    </row>
    <row r="13" spans="2:9" s="1" customFormat="1" ht="18" customHeight="1" x14ac:dyDescent="0.3">
      <c r="B13" s="2" t="s">
        <v>353</v>
      </c>
      <c r="C13" s="2" t="s">
        <v>62</v>
      </c>
      <c r="D13" s="2" t="s">
        <v>92</v>
      </c>
      <c r="E13" s="2" t="s">
        <v>371</v>
      </c>
      <c r="F13" s="2" t="s">
        <v>372</v>
      </c>
      <c r="G13" s="2" t="s">
        <v>95</v>
      </c>
      <c r="H13" s="2" t="s">
        <v>373</v>
      </c>
      <c r="I13" s="2" t="s">
        <v>374</v>
      </c>
    </row>
    <row r="14" spans="2:9" s="1" customFormat="1" ht="18" customHeight="1" x14ac:dyDescent="0.3">
      <c r="B14" s="2"/>
      <c r="C14" s="2"/>
      <c r="D14" s="2"/>
      <c r="E14" s="2"/>
      <c r="F14" s="2"/>
      <c r="G14" s="2"/>
      <c r="H14" s="2"/>
      <c r="I14" s="2"/>
    </row>
    <row r="15" spans="2:9" s="1" customFormat="1" ht="18" customHeight="1" x14ac:dyDescent="0.3">
      <c r="B15" s="2"/>
      <c r="C15" s="2"/>
      <c r="D15" s="2"/>
      <c r="E15" s="2"/>
      <c r="F15" s="2"/>
      <c r="G15" s="2"/>
      <c r="H15" s="2"/>
      <c r="I15" s="2"/>
    </row>
    <row r="17" spans="2:9" s="1" customFormat="1" ht="21.75" customHeight="1" x14ac:dyDescent="0.3">
      <c r="B17" s="23" t="s">
        <v>130</v>
      </c>
      <c r="C17" s="25"/>
      <c r="D17" s="25"/>
      <c r="E17" s="25"/>
      <c r="F17" s="25"/>
      <c r="G17" s="25"/>
      <c r="H17" s="25"/>
      <c r="I17" s="18"/>
    </row>
    <row r="18" spans="2:9" s="1" customFormat="1" ht="13.5" customHeight="1" x14ac:dyDescent="0.3">
      <c r="B18" s="31" t="s">
        <v>31</v>
      </c>
      <c r="C18" s="30"/>
      <c r="D18" s="30"/>
      <c r="E18" s="30"/>
      <c r="F18" s="30"/>
      <c r="G18" s="30"/>
      <c r="H18" s="30"/>
      <c r="I18" s="30"/>
    </row>
    <row r="19" spans="2:9" s="1" customFormat="1" ht="19.5" customHeight="1" x14ac:dyDescent="0.3">
      <c r="B19" s="11" t="s">
        <v>131</v>
      </c>
      <c r="C19" s="11" t="s">
        <v>84</v>
      </c>
      <c r="D19" s="32" t="s">
        <v>132</v>
      </c>
      <c r="E19" s="25"/>
      <c r="F19" s="18"/>
      <c r="G19" s="32" t="s">
        <v>133</v>
      </c>
      <c r="H19" s="18"/>
      <c r="I19" s="11" t="s">
        <v>51</v>
      </c>
    </row>
    <row r="20" spans="2:9" s="1" customFormat="1" ht="15.75" customHeight="1" x14ac:dyDescent="0.3">
      <c r="B20" s="33" t="s">
        <v>134</v>
      </c>
      <c r="C20" s="25"/>
      <c r="D20" s="25"/>
      <c r="E20" s="25"/>
      <c r="F20" s="25"/>
      <c r="G20" s="25"/>
      <c r="H20" s="25"/>
      <c r="I20" s="18"/>
    </row>
    <row r="21" spans="2:9" s="1" customFormat="1" ht="18" customHeight="1" x14ac:dyDescent="0.3">
      <c r="B21" s="2"/>
      <c r="C21" s="2" t="s">
        <v>52</v>
      </c>
      <c r="D21" s="2"/>
      <c r="E21" s="2" t="s">
        <v>375</v>
      </c>
      <c r="F21" s="2"/>
      <c r="G21" s="2"/>
      <c r="H21" s="2"/>
      <c r="I21" s="2"/>
    </row>
    <row r="22" spans="2:9" s="1" customFormat="1" ht="18" customHeight="1" x14ac:dyDescent="0.3">
      <c r="B22" s="2"/>
      <c r="C22" s="2"/>
      <c r="D22" s="2"/>
      <c r="E22" s="2"/>
      <c r="F22" s="2"/>
      <c r="G22" s="2"/>
      <c r="H22" s="2"/>
      <c r="I22" s="2"/>
    </row>
    <row r="23" spans="2:9" s="1" customFormat="1" ht="18" customHeight="1" x14ac:dyDescent="0.3">
      <c r="B23" s="2"/>
      <c r="C23" s="2"/>
      <c r="D23" s="2"/>
      <c r="E23" s="2"/>
      <c r="F23" s="2"/>
      <c r="G23" s="2"/>
      <c r="H23" s="2"/>
      <c r="I23" s="2"/>
    </row>
    <row r="24" spans="2:9" s="1" customFormat="1" ht="15.75" customHeight="1" x14ac:dyDescent="0.3">
      <c r="B24" s="33" t="s">
        <v>144</v>
      </c>
      <c r="C24" s="25"/>
      <c r="D24" s="25"/>
      <c r="E24" s="25"/>
      <c r="F24" s="25"/>
      <c r="G24" s="25"/>
      <c r="H24" s="25"/>
      <c r="I24" s="18"/>
    </row>
    <row r="25" spans="2:9" s="1" customFormat="1" ht="18" customHeight="1" x14ac:dyDescent="0.3">
      <c r="B25" s="2"/>
      <c r="C25" s="2" t="s">
        <v>52</v>
      </c>
      <c r="D25" s="2"/>
      <c r="E25" s="2" t="s">
        <v>376</v>
      </c>
      <c r="F25" s="2"/>
      <c r="G25" s="2"/>
      <c r="H25" s="2"/>
      <c r="I25" s="2"/>
    </row>
    <row r="26" spans="2:9" s="1" customFormat="1" ht="18" customHeight="1" x14ac:dyDescent="0.3">
      <c r="B26" s="2"/>
      <c r="C26" s="2"/>
      <c r="D26" s="2"/>
      <c r="E26" s="2"/>
      <c r="F26" s="2"/>
      <c r="G26" s="2"/>
      <c r="H26" s="2"/>
      <c r="I26" s="2"/>
    </row>
    <row r="27" spans="2:9" s="1" customFormat="1" ht="18" customHeight="1" x14ac:dyDescent="0.3">
      <c r="B27" s="2"/>
      <c r="C27" s="2"/>
      <c r="D27" s="2"/>
      <c r="E27" s="2"/>
      <c r="F27" s="2"/>
      <c r="G27" s="2"/>
      <c r="H27" s="2"/>
      <c r="I27" s="2"/>
    </row>
    <row r="28" spans="2:9" s="1" customFormat="1" ht="15.75" customHeight="1" x14ac:dyDescent="0.3">
      <c r="B28" s="33" t="s">
        <v>154</v>
      </c>
      <c r="C28" s="25"/>
      <c r="D28" s="25"/>
      <c r="E28" s="25"/>
      <c r="F28" s="25"/>
      <c r="G28" s="25"/>
      <c r="H28" s="25"/>
      <c r="I28" s="18"/>
    </row>
    <row r="29" spans="2:9" s="1" customFormat="1" ht="18" customHeight="1" x14ac:dyDescent="0.3">
      <c r="B29" s="2"/>
      <c r="C29" s="2" t="s">
        <v>52</v>
      </c>
      <c r="D29" s="2"/>
      <c r="E29" s="2" t="s">
        <v>377</v>
      </c>
      <c r="F29" s="2"/>
      <c r="G29" s="2"/>
      <c r="H29" s="2"/>
      <c r="I29" s="2"/>
    </row>
    <row r="30" spans="2:9" s="1" customFormat="1" ht="18" customHeight="1" x14ac:dyDescent="0.3">
      <c r="B30" s="2"/>
      <c r="C30" s="2"/>
      <c r="D30" s="2"/>
      <c r="E30" s="2"/>
      <c r="F30" s="2"/>
      <c r="G30" s="2"/>
      <c r="H30" s="2"/>
      <c r="I30" s="2"/>
    </row>
    <row r="31" spans="2:9" s="1" customFormat="1" ht="18" customHeight="1" x14ac:dyDescent="0.3">
      <c r="B31" s="2"/>
      <c r="C31" s="2"/>
      <c r="D31" s="2"/>
      <c r="E31" s="2"/>
      <c r="F31" s="2"/>
      <c r="G31" s="2"/>
      <c r="H31" s="2"/>
      <c r="I31" s="2"/>
    </row>
    <row r="32" spans="2:9" s="1" customFormat="1" ht="15.75" customHeight="1" x14ac:dyDescent="0.3">
      <c r="B32" s="33" t="s">
        <v>156</v>
      </c>
      <c r="C32" s="25"/>
      <c r="D32" s="25"/>
      <c r="E32" s="25"/>
      <c r="F32" s="25"/>
      <c r="G32" s="25"/>
      <c r="H32" s="25"/>
      <c r="I32" s="18"/>
    </row>
    <row r="33" spans="2:9" s="1" customFormat="1" ht="18" customHeight="1" x14ac:dyDescent="0.3">
      <c r="B33" s="2"/>
      <c r="C33" s="2"/>
      <c r="D33" s="2"/>
      <c r="E33" s="2"/>
      <c r="F33" s="2"/>
      <c r="G33" s="2"/>
      <c r="H33" s="2"/>
      <c r="I33" s="2"/>
    </row>
    <row r="34" spans="2:9" s="1" customFormat="1" ht="18" customHeight="1" x14ac:dyDescent="0.3">
      <c r="B34" s="2"/>
      <c r="C34" s="2"/>
      <c r="D34" s="2"/>
      <c r="E34" s="2"/>
      <c r="F34" s="2"/>
      <c r="G34" s="2"/>
      <c r="H34" s="2"/>
      <c r="I34" s="2"/>
    </row>
    <row r="35" spans="2:9" s="1" customFormat="1" ht="18" customHeight="1" x14ac:dyDescent="0.3">
      <c r="B35" s="2"/>
      <c r="C35" s="2"/>
      <c r="D35" s="2"/>
      <c r="E35" s="2"/>
      <c r="F35" s="2"/>
      <c r="G35" s="2"/>
      <c r="H35" s="2"/>
      <c r="I35" s="2"/>
    </row>
    <row r="37" spans="2:9" s="1" customFormat="1" ht="21.75" customHeight="1" x14ac:dyDescent="0.3">
      <c r="B37" s="22" t="s">
        <v>157</v>
      </c>
      <c r="C37" s="25"/>
      <c r="D37" s="25"/>
      <c r="E37" s="25"/>
      <c r="F37" s="25"/>
      <c r="G37" s="25"/>
      <c r="H37" s="25"/>
      <c r="I37" s="18"/>
    </row>
    <row r="38" spans="2:9" s="1" customFormat="1" ht="13.5" customHeight="1" x14ac:dyDescent="0.3">
      <c r="B38" s="31" t="s">
        <v>158</v>
      </c>
      <c r="C38" s="30"/>
      <c r="D38" s="30"/>
      <c r="E38" s="30"/>
      <c r="F38" s="30"/>
      <c r="G38" s="30"/>
      <c r="H38" s="30"/>
      <c r="I38" s="30"/>
    </row>
    <row r="39" spans="2:9" s="1" customFormat="1" ht="19.5" customHeight="1" x14ac:dyDescent="0.3">
      <c r="B39" s="12" t="s">
        <v>159</v>
      </c>
      <c r="C39" s="12" t="s">
        <v>160</v>
      </c>
      <c r="D39" s="12" t="s">
        <v>161</v>
      </c>
      <c r="E39" s="34" t="s">
        <v>162</v>
      </c>
      <c r="F39" s="25"/>
      <c r="G39" s="25"/>
      <c r="H39" s="25"/>
      <c r="I39" s="18"/>
    </row>
    <row r="40" spans="2:9" s="1" customFormat="1" ht="21.75" customHeight="1" x14ac:dyDescent="0.3">
      <c r="B40" s="35" t="s">
        <v>163</v>
      </c>
      <c r="C40" s="25"/>
      <c r="D40" s="18"/>
      <c r="E40" s="36" t="s">
        <v>378</v>
      </c>
      <c r="F40" s="25"/>
      <c r="G40" s="25"/>
      <c r="H40" s="25"/>
      <c r="I40" s="18"/>
    </row>
    <row r="41" spans="2:9" s="1" customFormat="1" ht="21.75" customHeight="1" x14ac:dyDescent="0.3">
      <c r="B41" s="37" t="s">
        <v>165</v>
      </c>
      <c r="C41" s="25"/>
      <c r="D41" s="18"/>
      <c r="E41" s="36" t="s">
        <v>379</v>
      </c>
      <c r="F41" s="25"/>
      <c r="G41" s="25"/>
      <c r="H41" s="25"/>
      <c r="I41" s="18"/>
    </row>
    <row r="42" spans="2:9" s="1" customFormat="1" ht="21.75" customHeight="1" x14ac:dyDescent="0.3">
      <c r="B42" s="37" t="s">
        <v>167</v>
      </c>
      <c r="C42" s="25"/>
      <c r="D42" s="18"/>
      <c r="E42" s="36" t="s">
        <v>380</v>
      </c>
      <c r="F42" s="25"/>
      <c r="G42" s="25"/>
      <c r="H42" s="25"/>
      <c r="I42" s="18"/>
    </row>
    <row r="43" spans="2:9" s="1" customFormat="1" ht="21.75" customHeight="1" x14ac:dyDescent="0.3">
      <c r="B43" s="37" t="s">
        <v>169</v>
      </c>
      <c r="C43" s="25"/>
      <c r="D43" s="18"/>
      <c r="E43" s="36" t="s">
        <v>381</v>
      </c>
      <c r="F43" s="25"/>
      <c r="G43" s="25"/>
      <c r="H43" s="25"/>
      <c r="I43" s="18"/>
    </row>
    <row r="44" spans="2:9" s="1" customFormat="1" ht="21.75" customHeight="1" x14ac:dyDescent="0.3">
      <c r="B44" s="35" t="s">
        <v>382</v>
      </c>
      <c r="C44" s="25"/>
      <c r="D44" s="18"/>
      <c r="E44" s="36"/>
      <c r="F44" s="25"/>
      <c r="G44" s="25"/>
      <c r="H44" s="25"/>
      <c r="I44" s="18"/>
    </row>
    <row r="45" spans="2:9" s="1" customFormat="1" ht="21.75" customHeight="1" x14ac:dyDescent="0.3">
      <c r="B45" s="37" t="s">
        <v>165</v>
      </c>
      <c r="C45" s="25"/>
      <c r="D45" s="18"/>
      <c r="E45" s="36"/>
      <c r="F45" s="25"/>
      <c r="G45" s="25"/>
      <c r="H45" s="25"/>
      <c r="I45" s="18"/>
    </row>
    <row r="46" spans="2:9" s="1" customFormat="1" ht="21.75" customHeight="1" x14ac:dyDescent="0.3">
      <c r="B46" s="37" t="s">
        <v>167</v>
      </c>
      <c r="C46" s="25"/>
      <c r="D46" s="18"/>
      <c r="E46" s="36"/>
      <c r="F46" s="25"/>
      <c r="G46" s="25"/>
      <c r="H46" s="25"/>
      <c r="I46" s="18"/>
    </row>
    <row r="47" spans="2:9" s="1" customFormat="1" ht="21.75" customHeight="1" x14ac:dyDescent="0.3">
      <c r="B47" s="37" t="s">
        <v>169</v>
      </c>
      <c r="C47" s="25"/>
      <c r="D47" s="18"/>
      <c r="E47" s="36"/>
      <c r="F47" s="25"/>
      <c r="G47" s="25"/>
      <c r="H47" s="25"/>
      <c r="I47" s="18"/>
    </row>
    <row r="48" spans="2:9" s="1" customFormat="1" ht="21.75" customHeight="1" x14ac:dyDescent="0.3">
      <c r="B48" s="35" t="s">
        <v>383</v>
      </c>
      <c r="C48" s="25"/>
      <c r="D48" s="18"/>
      <c r="E48" s="36"/>
      <c r="F48" s="25"/>
      <c r="G48" s="25"/>
      <c r="H48" s="25"/>
      <c r="I48" s="18"/>
    </row>
    <row r="49" spans="2:9" s="1" customFormat="1" ht="21.75" customHeight="1" x14ac:dyDescent="0.3">
      <c r="B49" s="37" t="s">
        <v>165</v>
      </c>
      <c r="C49" s="25"/>
      <c r="D49" s="18"/>
      <c r="E49" s="36"/>
      <c r="F49" s="25"/>
      <c r="G49" s="25"/>
      <c r="H49" s="25"/>
      <c r="I49" s="18"/>
    </row>
    <row r="50" spans="2:9" s="1" customFormat="1" ht="21.75" customHeight="1" x14ac:dyDescent="0.3">
      <c r="B50" s="37" t="s">
        <v>167</v>
      </c>
      <c r="C50" s="25"/>
      <c r="D50" s="18"/>
      <c r="E50" s="36"/>
      <c r="F50" s="25"/>
      <c r="G50" s="25"/>
      <c r="H50" s="25"/>
      <c r="I50" s="18"/>
    </row>
    <row r="51" spans="2:9" s="1" customFormat="1" ht="21.75" customHeight="1" x14ac:dyDescent="0.3">
      <c r="B51" s="37" t="s">
        <v>169</v>
      </c>
      <c r="C51" s="25"/>
      <c r="D51" s="18"/>
      <c r="E51" s="36"/>
      <c r="F51" s="25"/>
      <c r="G51" s="25"/>
      <c r="H51" s="25"/>
      <c r="I51" s="18"/>
    </row>
    <row r="52" spans="2:9" s="1" customFormat="1" ht="21.75" customHeight="1" x14ac:dyDescent="0.3">
      <c r="B52" s="35" t="s">
        <v>181</v>
      </c>
      <c r="C52" s="25"/>
      <c r="D52" s="18"/>
      <c r="E52" s="36"/>
      <c r="F52" s="25"/>
      <c r="G52" s="25"/>
      <c r="H52" s="25"/>
      <c r="I52" s="18"/>
    </row>
    <row r="53" spans="2:9" s="1" customFormat="1" ht="21.75" customHeight="1" x14ac:dyDescent="0.3">
      <c r="B53" s="37" t="s">
        <v>165</v>
      </c>
      <c r="C53" s="25"/>
      <c r="D53" s="18"/>
      <c r="E53" s="36"/>
      <c r="F53" s="25"/>
      <c r="G53" s="25"/>
      <c r="H53" s="25"/>
      <c r="I53" s="18"/>
    </row>
    <row r="54" spans="2:9" s="1" customFormat="1" ht="21.75" customHeight="1" x14ac:dyDescent="0.3">
      <c r="B54" s="37" t="s">
        <v>167</v>
      </c>
      <c r="C54" s="25"/>
      <c r="D54" s="18"/>
      <c r="E54" s="36"/>
      <c r="F54" s="25"/>
      <c r="G54" s="25"/>
      <c r="H54" s="25"/>
      <c r="I54" s="18"/>
    </row>
    <row r="55" spans="2:9" s="1" customFormat="1" ht="21.75" customHeight="1" x14ac:dyDescent="0.3">
      <c r="B55" s="37" t="s">
        <v>169</v>
      </c>
      <c r="C55" s="25"/>
      <c r="D55" s="18"/>
      <c r="E55" s="36"/>
      <c r="F55" s="25"/>
      <c r="G55" s="25"/>
      <c r="H55" s="25"/>
      <c r="I55" s="18"/>
    </row>
    <row r="56" spans="2:9" x14ac:dyDescent="0.3">
      <c r="E56" s="36"/>
      <c r="F56" s="25"/>
      <c r="G56" s="25"/>
      <c r="H56" s="25"/>
      <c r="I56" s="18"/>
    </row>
    <row r="57" spans="2:9" s="1" customFormat="1" ht="21.75" customHeight="1" x14ac:dyDescent="0.3">
      <c r="B57" s="40" t="s">
        <v>182</v>
      </c>
      <c r="C57" s="25"/>
      <c r="D57" s="25"/>
      <c r="E57" s="25"/>
      <c r="F57" s="25"/>
      <c r="G57" s="25"/>
      <c r="H57" s="25"/>
      <c r="I57" s="18"/>
    </row>
    <row r="58" spans="2:9" s="1" customFormat="1" ht="13.5" customHeight="1" x14ac:dyDescent="0.3">
      <c r="B58" s="31" t="s">
        <v>183</v>
      </c>
      <c r="C58" s="30"/>
      <c r="D58" s="30"/>
      <c r="E58" s="30"/>
      <c r="F58" s="30"/>
      <c r="G58" s="30"/>
      <c r="H58" s="30"/>
      <c r="I58" s="30"/>
    </row>
    <row r="59" spans="2:9" s="1" customFormat="1" ht="18" customHeight="1" x14ac:dyDescent="0.3">
      <c r="B59" s="41" t="s">
        <v>184</v>
      </c>
      <c r="C59" s="25"/>
      <c r="D59" s="25"/>
      <c r="E59" s="25"/>
      <c r="F59" s="25"/>
      <c r="G59" s="25"/>
      <c r="H59" s="25"/>
      <c r="I59" s="18"/>
    </row>
    <row r="60" spans="2:9" s="1" customFormat="1" ht="18" customHeight="1" x14ac:dyDescent="0.3">
      <c r="B60" s="42" t="s">
        <v>185</v>
      </c>
      <c r="C60" s="25"/>
      <c r="D60" s="18"/>
      <c r="E60" s="43" t="s">
        <v>384</v>
      </c>
      <c r="F60" s="30"/>
      <c r="G60" s="30"/>
      <c r="H60" s="30"/>
      <c r="I60" s="30"/>
    </row>
    <row r="61" spans="2:9" s="1" customFormat="1" ht="18" customHeight="1" x14ac:dyDescent="0.3">
      <c r="B61" s="42" t="s">
        <v>187</v>
      </c>
      <c r="C61" s="25"/>
      <c r="D61" s="18"/>
      <c r="E61" s="43" t="s">
        <v>385</v>
      </c>
      <c r="F61" s="30"/>
      <c r="G61" s="30"/>
      <c r="H61" s="30"/>
      <c r="I61" s="30"/>
    </row>
    <row r="62" spans="2:9" s="1" customFormat="1" ht="18" customHeight="1" x14ac:dyDescent="0.3">
      <c r="B62" s="42" t="s">
        <v>189</v>
      </c>
      <c r="C62" s="25"/>
      <c r="D62" s="18"/>
      <c r="E62" s="43" t="s">
        <v>386</v>
      </c>
      <c r="F62" s="30"/>
      <c r="G62" s="30"/>
      <c r="H62" s="30"/>
      <c r="I62" s="30"/>
    </row>
    <row r="63" spans="2:9" s="1" customFormat="1" ht="18" customHeight="1" x14ac:dyDescent="0.3">
      <c r="B63" s="42" t="s">
        <v>191</v>
      </c>
      <c r="C63" s="25"/>
      <c r="D63" s="18"/>
      <c r="E63" s="43" t="s">
        <v>387</v>
      </c>
      <c r="F63" s="30"/>
      <c r="G63" s="30"/>
      <c r="H63" s="30"/>
      <c r="I63" s="30"/>
    </row>
    <row r="64" spans="2:9" s="1" customFormat="1" ht="18" customHeight="1" x14ac:dyDescent="0.3">
      <c r="B64" s="42" t="s">
        <v>193</v>
      </c>
      <c r="C64" s="25"/>
      <c r="D64" s="18"/>
      <c r="E64" s="43" t="s">
        <v>388</v>
      </c>
      <c r="F64" s="30"/>
      <c r="G64" s="30"/>
      <c r="H64" s="30"/>
      <c r="I64" s="30"/>
    </row>
    <row r="66" spans="2:9" s="1" customFormat="1" ht="18" customHeight="1" x14ac:dyDescent="0.3">
      <c r="B66" s="41" t="s">
        <v>195</v>
      </c>
      <c r="C66" s="25"/>
      <c r="D66" s="25"/>
      <c r="E66" s="25"/>
      <c r="F66" s="25"/>
      <c r="G66" s="25"/>
      <c r="H66" s="25"/>
      <c r="I66" s="18"/>
    </row>
    <row r="67" spans="2:9" s="1" customFormat="1" ht="18" customHeight="1" x14ac:dyDescent="0.3">
      <c r="B67" s="42" t="s">
        <v>389</v>
      </c>
      <c r="C67" s="25"/>
      <c r="D67" s="18"/>
      <c r="E67" s="43" t="s">
        <v>208</v>
      </c>
      <c r="F67" s="30"/>
      <c r="G67" s="30"/>
      <c r="H67" s="30"/>
      <c r="I67" s="30"/>
    </row>
    <row r="68" spans="2:9" s="1" customFormat="1" ht="18" customHeight="1" x14ac:dyDescent="0.3">
      <c r="B68" s="42" t="s">
        <v>390</v>
      </c>
      <c r="C68" s="25"/>
      <c r="D68" s="18"/>
      <c r="E68" s="43" t="s">
        <v>209</v>
      </c>
      <c r="F68" s="30"/>
      <c r="G68" s="30"/>
      <c r="H68" s="30"/>
      <c r="I68" s="30"/>
    </row>
    <row r="69" spans="2:9" s="1" customFormat="1" ht="18" customHeight="1" x14ac:dyDescent="0.3">
      <c r="B69" s="42" t="s">
        <v>391</v>
      </c>
      <c r="C69" s="25"/>
      <c r="D69" s="18"/>
      <c r="E69" s="43" t="s">
        <v>210</v>
      </c>
      <c r="F69" s="30"/>
      <c r="G69" s="30"/>
      <c r="H69" s="30"/>
      <c r="I69" s="30"/>
    </row>
    <row r="70" spans="2:9" s="1" customFormat="1" ht="18" customHeight="1" x14ac:dyDescent="0.3">
      <c r="B70" s="42" t="s">
        <v>392</v>
      </c>
      <c r="C70" s="25"/>
      <c r="D70" s="18"/>
      <c r="E70" s="43" t="s">
        <v>211</v>
      </c>
      <c r="F70" s="30"/>
      <c r="G70" s="30"/>
      <c r="H70" s="30"/>
      <c r="I70" s="30"/>
    </row>
    <row r="71" spans="2:9" s="1" customFormat="1" ht="18" customHeight="1" x14ac:dyDescent="0.3">
      <c r="B71" s="42" t="s">
        <v>393</v>
      </c>
      <c r="C71" s="25"/>
      <c r="D71" s="18"/>
      <c r="E71" s="43" t="s">
        <v>212</v>
      </c>
      <c r="F71" s="30"/>
      <c r="G71" s="30"/>
      <c r="H71" s="30"/>
      <c r="I71" s="30"/>
    </row>
    <row r="73" spans="2:9" s="1" customFormat="1" ht="18" customHeight="1" x14ac:dyDescent="0.3">
      <c r="B73" s="41" t="s">
        <v>201</v>
      </c>
      <c r="C73" s="25"/>
      <c r="D73" s="25"/>
      <c r="E73" s="25"/>
      <c r="F73" s="25"/>
      <c r="G73" s="25"/>
      <c r="H73" s="25"/>
      <c r="I73" s="18"/>
    </row>
    <row r="74" spans="2:9" s="1" customFormat="1" ht="18" customHeight="1" x14ac:dyDescent="0.3">
      <c r="B74" s="42" t="s">
        <v>394</v>
      </c>
      <c r="C74" s="25"/>
      <c r="D74" s="18"/>
      <c r="E74" s="37" t="s">
        <v>208</v>
      </c>
      <c r="F74" s="25"/>
      <c r="G74" s="25"/>
      <c r="H74" s="25"/>
      <c r="I74" s="18"/>
    </row>
    <row r="75" spans="2:9" s="1" customFormat="1" ht="18" customHeight="1" x14ac:dyDescent="0.3">
      <c r="B75" s="42" t="s">
        <v>395</v>
      </c>
      <c r="C75" s="25"/>
      <c r="D75" s="18"/>
      <c r="E75" s="37" t="s">
        <v>209</v>
      </c>
      <c r="F75" s="25"/>
      <c r="G75" s="25"/>
      <c r="H75" s="25"/>
      <c r="I75" s="18"/>
    </row>
    <row r="76" spans="2:9" s="1" customFormat="1" ht="18" customHeight="1" x14ac:dyDescent="0.3">
      <c r="B76" s="42" t="s">
        <v>396</v>
      </c>
      <c r="C76" s="25"/>
      <c r="D76" s="18"/>
      <c r="E76" s="37" t="s">
        <v>210</v>
      </c>
      <c r="F76" s="25"/>
      <c r="G76" s="25"/>
      <c r="H76" s="25"/>
      <c r="I76" s="18"/>
    </row>
    <row r="77" spans="2:9" s="1" customFormat="1" ht="18" customHeight="1" x14ac:dyDescent="0.3">
      <c r="B77" s="42" t="s">
        <v>397</v>
      </c>
      <c r="C77" s="25"/>
      <c r="D77" s="18"/>
      <c r="E77" s="37" t="s">
        <v>211</v>
      </c>
      <c r="F77" s="25"/>
      <c r="G77" s="25"/>
      <c r="H77" s="25"/>
      <c r="I77" s="18"/>
    </row>
    <row r="78" spans="2:9" s="1" customFormat="1" ht="18" customHeight="1" x14ac:dyDescent="0.3">
      <c r="B78" s="42" t="s">
        <v>398</v>
      </c>
      <c r="C78" s="25"/>
      <c r="D78" s="18"/>
      <c r="E78" s="37" t="s">
        <v>212</v>
      </c>
      <c r="F78" s="25"/>
      <c r="G78" s="25"/>
      <c r="H78" s="25"/>
      <c r="I78" s="18"/>
    </row>
    <row r="80" spans="2:9" s="1" customFormat="1" ht="18" customHeight="1" x14ac:dyDescent="0.3">
      <c r="B80" s="41" t="s">
        <v>207</v>
      </c>
      <c r="C80" s="25"/>
      <c r="D80" s="25"/>
      <c r="E80" s="25"/>
      <c r="F80" s="25"/>
      <c r="G80" s="25"/>
      <c r="H80" s="25"/>
      <c r="I80" s="18"/>
    </row>
    <row r="81" spans="2:9" s="1" customFormat="1" ht="18" customHeight="1" x14ac:dyDescent="0.3">
      <c r="B81" s="42" t="s">
        <v>185</v>
      </c>
      <c r="C81" s="25"/>
      <c r="D81" s="18"/>
      <c r="E81" s="37" t="s">
        <v>208</v>
      </c>
      <c r="F81" s="25"/>
      <c r="G81" s="25"/>
      <c r="H81" s="25"/>
      <c r="I81" s="18"/>
    </row>
    <row r="82" spans="2:9" s="1" customFormat="1" ht="18" customHeight="1" x14ac:dyDescent="0.3">
      <c r="B82" s="42" t="s">
        <v>187</v>
      </c>
      <c r="C82" s="25"/>
      <c r="D82" s="18"/>
      <c r="E82" s="37" t="s">
        <v>209</v>
      </c>
      <c r="F82" s="25"/>
      <c r="G82" s="25"/>
      <c r="H82" s="25"/>
      <c r="I82" s="18"/>
    </row>
    <row r="83" spans="2:9" s="1" customFormat="1" ht="18" customHeight="1" x14ac:dyDescent="0.3">
      <c r="B83" s="42" t="s">
        <v>189</v>
      </c>
      <c r="C83" s="25"/>
      <c r="D83" s="18"/>
      <c r="E83" s="37" t="s">
        <v>210</v>
      </c>
      <c r="F83" s="25"/>
      <c r="G83" s="25"/>
      <c r="H83" s="25"/>
      <c r="I83" s="18"/>
    </row>
    <row r="84" spans="2:9" s="1" customFormat="1" ht="18" customHeight="1" x14ac:dyDescent="0.3">
      <c r="B84" s="42" t="s">
        <v>191</v>
      </c>
      <c r="C84" s="25"/>
      <c r="D84" s="18"/>
      <c r="E84" s="37" t="s">
        <v>211</v>
      </c>
      <c r="F84" s="25"/>
      <c r="G84" s="25"/>
      <c r="H84" s="25"/>
      <c r="I84" s="18"/>
    </row>
    <row r="85" spans="2:9" s="1" customFormat="1" ht="18" customHeight="1" x14ac:dyDescent="0.3">
      <c r="B85" s="42" t="s">
        <v>193</v>
      </c>
      <c r="C85" s="25"/>
      <c r="D85" s="18"/>
      <c r="E85" s="37" t="s">
        <v>212</v>
      </c>
      <c r="F85" s="25"/>
      <c r="G85" s="25"/>
      <c r="H85" s="25"/>
      <c r="I85" s="18"/>
    </row>
    <row r="87" spans="2:9" s="1" customFormat="1" ht="18" customHeight="1" x14ac:dyDescent="0.3">
      <c r="B87" s="41" t="s">
        <v>213</v>
      </c>
      <c r="C87" s="25"/>
      <c r="D87" s="25"/>
      <c r="E87" s="25"/>
      <c r="F87" s="25"/>
      <c r="G87" s="25"/>
      <c r="H87" s="25"/>
      <c r="I87" s="18"/>
    </row>
    <row r="88" spans="2:9" s="1" customFormat="1" ht="18" customHeight="1" x14ac:dyDescent="0.3">
      <c r="B88" s="42" t="s">
        <v>185</v>
      </c>
      <c r="C88" s="25"/>
      <c r="D88" s="18"/>
      <c r="E88" s="37" t="s">
        <v>208</v>
      </c>
      <c r="F88" s="25"/>
      <c r="G88" s="25"/>
      <c r="H88" s="25"/>
      <c r="I88" s="18"/>
    </row>
    <row r="89" spans="2:9" s="1" customFormat="1" ht="18" customHeight="1" x14ac:dyDescent="0.3">
      <c r="B89" s="42" t="s">
        <v>187</v>
      </c>
      <c r="C89" s="25"/>
      <c r="D89" s="18"/>
      <c r="E89" s="37" t="s">
        <v>209</v>
      </c>
      <c r="F89" s="25"/>
      <c r="G89" s="25"/>
      <c r="H89" s="25"/>
      <c r="I89" s="18"/>
    </row>
    <row r="90" spans="2:9" s="1" customFormat="1" ht="18" customHeight="1" x14ac:dyDescent="0.3">
      <c r="B90" s="42" t="s">
        <v>189</v>
      </c>
      <c r="C90" s="25"/>
      <c r="D90" s="18"/>
      <c r="E90" s="37" t="s">
        <v>210</v>
      </c>
      <c r="F90" s="25"/>
      <c r="G90" s="25"/>
      <c r="H90" s="25"/>
      <c r="I90" s="18"/>
    </row>
    <row r="91" spans="2:9" s="1" customFormat="1" ht="18" customHeight="1" x14ac:dyDescent="0.3">
      <c r="B91" s="42" t="s">
        <v>191</v>
      </c>
      <c r="C91" s="25"/>
      <c r="D91" s="18"/>
      <c r="E91" s="37" t="s">
        <v>211</v>
      </c>
      <c r="F91" s="25"/>
      <c r="G91" s="25"/>
      <c r="H91" s="25"/>
      <c r="I91" s="18"/>
    </row>
    <row r="92" spans="2:9" s="1" customFormat="1" ht="18" customHeight="1" x14ac:dyDescent="0.3">
      <c r="B92" s="42" t="s">
        <v>193</v>
      </c>
      <c r="C92" s="25"/>
      <c r="D92" s="18"/>
      <c r="E92" s="37" t="s">
        <v>212</v>
      </c>
      <c r="F92" s="25"/>
      <c r="G92" s="25"/>
      <c r="H92" s="25"/>
      <c r="I92" s="18"/>
    </row>
    <row r="94" spans="2:9" s="1" customFormat="1" ht="15.75" customHeight="1" x14ac:dyDescent="0.3">
      <c r="B94" s="45" t="s">
        <v>399</v>
      </c>
      <c r="C94" s="25"/>
      <c r="D94" s="25"/>
      <c r="E94" s="25"/>
      <c r="F94" s="25"/>
      <c r="G94" s="25"/>
      <c r="H94" s="25"/>
      <c r="I94" s="18"/>
    </row>
  </sheetData>
  <mergeCells count="106">
    <mergeCell ref="B92:D92"/>
    <mergeCell ref="E92:I92"/>
    <mergeCell ref="B94:I94"/>
    <mergeCell ref="B87:I87"/>
    <mergeCell ref="B88:D88"/>
    <mergeCell ref="E88:I88"/>
    <mergeCell ref="B89:D89"/>
    <mergeCell ref="E89:I89"/>
    <mergeCell ref="B90:D90"/>
    <mergeCell ref="E90:I90"/>
    <mergeCell ref="B91:D91"/>
    <mergeCell ref="E91:I91"/>
    <mergeCell ref="B81:D81"/>
    <mergeCell ref="E81:I81"/>
    <mergeCell ref="B82:D82"/>
    <mergeCell ref="E82:I82"/>
    <mergeCell ref="B83:D83"/>
    <mergeCell ref="E83:I83"/>
    <mergeCell ref="B84:D84"/>
    <mergeCell ref="E84:I84"/>
    <mergeCell ref="B85:D85"/>
    <mergeCell ref="E85:I85"/>
    <mergeCell ref="B75:D75"/>
    <mergeCell ref="E75:I75"/>
    <mergeCell ref="B76:D76"/>
    <mergeCell ref="E76:I76"/>
    <mergeCell ref="B77:D77"/>
    <mergeCell ref="E77:I77"/>
    <mergeCell ref="B78:D78"/>
    <mergeCell ref="E78:I78"/>
    <mergeCell ref="B80:I80"/>
    <mergeCell ref="B69:D69"/>
    <mergeCell ref="E69:I69"/>
    <mergeCell ref="B70:D70"/>
    <mergeCell ref="E70:I70"/>
    <mergeCell ref="B71:D71"/>
    <mergeCell ref="E71:I71"/>
    <mergeCell ref="B73:I73"/>
    <mergeCell ref="B74:D74"/>
    <mergeCell ref="E74:I74"/>
    <mergeCell ref="B63:D63"/>
    <mergeCell ref="E63:I63"/>
    <mergeCell ref="B64:D64"/>
    <mergeCell ref="E64:I64"/>
    <mergeCell ref="B66:I66"/>
    <mergeCell ref="B67:D67"/>
    <mergeCell ref="E67:I67"/>
    <mergeCell ref="B68:D68"/>
    <mergeCell ref="E68:I68"/>
    <mergeCell ref="B57:I57"/>
    <mergeCell ref="B58:I58"/>
    <mergeCell ref="B59:I59"/>
    <mergeCell ref="B60:D60"/>
    <mergeCell ref="E60:I60"/>
    <mergeCell ref="B61:D61"/>
    <mergeCell ref="E61:I61"/>
    <mergeCell ref="B62:D62"/>
    <mergeCell ref="E62:I62"/>
    <mergeCell ref="B52:D52"/>
    <mergeCell ref="E52:I52"/>
    <mergeCell ref="B53:D53"/>
    <mergeCell ref="E53:I53"/>
    <mergeCell ref="B54:D54"/>
    <mergeCell ref="E54:I54"/>
    <mergeCell ref="B55:D55"/>
    <mergeCell ref="E55:I55"/>
    <mergeCell ref="E56:I56"/>
    <mergeCell ref="B47:D47"/>
    <mergeCell ref="E47:I47"/>
    <mergeCell ref="B48:D48"/>
    <mergeCell ref="E48:I48"/>
    <mergeCell ref="B49:D49"/>
    <mergeCell ref="E49:I49"/>
    <mergeCell ref="B50:D50"/>
    <mergeCell ref="E50:I50"/>
    <mergeCell ref="B51:D51"/>
    <mergeCell ref="E51:I51"/>
    <mergeCell ref="B42:D42"/>
    <mergeCell ref="E42:I42"/>
    <mergeCell ref="B43:D43"/>
    <mergeCell ref="E43:I43"/>
    <mergeCell ref="B44:D44"/>
    <mergeCell ref="E44:I44"/>
    <mergeCell ref="B45:D45"/>
    <mergeCell ref="E45:I45"/>
    <mergeCell ref="B46:D46"/>
    <mergeCell ref="E46:I46"/>
    <mergeCell ref="B24:I24"/>
    <mergeCell ref="B28:I28"/>
    <mergeCell ref="B32:I32"/>
    <mergeCell ref="B37:I37"/>
    <mergeCell ref="B38:I38"/>
    <mergeCell ref="E39:I39"/>
    <mergeCell ref="B40:D40"/>
    <mergeCell ref="E40:I40"/>
    <mergeCell ref="B41:D41"/>
    <mergeCell ref="E41:I41"/>
    <mergeCell ref="B2:I2"/>
    <mergeCell ref="B3:I3"/>
    <mergeCell ref="B5:I5"/>
    <mergeCell ref="B6:I6"/>
    <mergeCell ref="B17:I17"/>
    <mergeCell ref="B18:I18"/>
    <mergeCell ref="D19:F19"/>
    <mergeCell ref="G19:H19"/>
    <mergeCell ref="B20:I20"/>
  </mergeCells>
  <pageMargins left="0.75" right="0.75" top="1" bottom="1" header="0.511811023622047" footer="0.511811023622047"/>
  <pageSetup paperSize="9" orientation="portrait" useFirstPageNumber="1"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94"/>
  <sheetViews>
    <sheetView showGridLines="0" zoomScaleNormal="100" workbookViewId="0">
      <selection activeCell="E71" sqref="E71"/>
    </sheetView>
  </sheetViews>
  <sheetFormatPr defaultColWidth="8.5546875" defaultRowHeight="14.4" customHeight="1" x14ac:dyDescent="0.3"/>
  <cols>
    <col min="1" max="1" width="3" style="1" customWidth="1"/>
    <col min="2" max="2" width="12" style="1" customWidth="1"/>
    <col min="3" max="3" width="6" style="1" customWidth="1"/>
    <col min="4" max="4" width="12.6640625" style="1" customWidth="1"/>
    <col min="5" max="5" width="32" style="1" customWidth="1"/>
    <col min="6" max="6" width="20" style="1" customWidth="1"/>
    <col min="7" max="7" width="12" style="1" customWidth="1"/>
    <col min="8" max="8" width="28" style="1" customWidth="1"/>
    <col min="9" max="9" width="22" style="1" customWidth="1"/>
  </cols>
  <sheetData>
    <row r="1" spans="2:9" s="1" customFormat="1" ht="13.5" customHeight="1" x14ac:dyDescent="0.3"/>
    <row r="2" spans="2:9" s="1" customFormat="1" ht="33.75" customHeight="1" x14ac:dyDescent="0.3">
      <c r="B2" s="28" t="s">
        <v>79</v>
      </c>
      <c r="C2" s="25"/>
      <c r="D2" s="25"/>
      <c r="E2" s="25"/>
      <c r="F2" s="25"/>
      <c r="G2" s="25"/>
      <c r="H2" s="25"/>
      <c r="I2" s="18"/>
    </row>
    <row r="3" spans="2:9" s="1" customFormat="1" ht="15.75" customHeight="1" x14ac:dyDescent="0.3">
      <c r="B3" s="29" t="s">
        <v>80</v>
      </c>
      <c r="C3" s="30"/>
      <c r="D3" s="30"/>
      <c r="E3" s="30"/>
      <c r="F3" s="30"/>
      <c r="G3" s="30"/>
      <c r="H3" s="30"/>
      <c r="I3" s="30"/>
    </row>
    <row r="5" spans="2:9" s="1" customFormat="1" ht="21.75" customHeight="1" x14ac:dyDescent="0.3">
      <c r="B5" s="21" t="s">
        <v>81</v>
      </c>
      <c r="C5" s="25"/>
      <c r="D5" s="25"/>
      <c r="E5" s="25"/>
      <c r="F5" s="25"/>
      <c r="G5" s="25"/>
      <c r="H5" s="25"/>
      <c r="I5" s="18"/>
    </row>
    <row r="6" spans="2:9" s="1" customFormat="1" ht="13.5" customHeight="1" x14ac:dyDescent="0.3">
      <c r="B6" s="31" t="s">
        <v>82</v>
      </c>
      <c r="C6" s="30"/>
      <c r="D6" s="30"/>
      <c r="E6" s="30"/>
      <c r="F6" s="30"/>
      <c r="G6" s="30"/>
      <c r="H6" s="30"/>
      <c r="I6" s="30"/>
    </row>
    <row r="7" spans="2:9" s="1" customFormat="1" ht="19.5" customHeight="1" x14ac:dyDescent="0.3">
      <c r="B7" s="4" t="s">
        <v>83</v>
      </c>
      <c r="C7" s="4" t="s">
        <v>84</v>
      </c>
      <c r="D7" s="4" t="s">
        <v>85</v>
      </c>
      <c r="E7" s="4" t="s">
        <v>86</v>
      </c>
      <c r="F7" s="4" t="s">
        <v>87</v>
      </c>
      <c r="G7" s="4" t="s">
        <v>88</v>
      </c>
      <c r="H7" s="4" t="s">
        <v>89</v>
      </c>
      <c r="I7" s="4" t="s">
        <v>90</v>
      </c>
    </row>
    <row r="8" spans="2:9" s="1" customFormat="1" ht="18" customHeight="1" x14ac:dyDescent="0.3">
      <c r="B8" s="2" t="s">
        <v>400</v>
      </c>
      <c r="C8" s="2" t="s">
        <v>52</v>
      </c>
      <c r="D8" s="2" t="s">
        <v>92</v>
      </c>
      <c r="E8" s="2" t="s">
        <v>401</v>
      </c>
      <c r="F8" s="2" t="s">
        <v>217</v>
      </c>
      <c r="G8" s="2" t="s">
        <v>95</v>
      </c>
      <c r="H8" s="2" t="s">
        <v>402</v>
      </c>
      <c r="I8" s="2" t="s">
        <v>403</v>
      </c>
    </row>
    <row r="9" spans="2:9" s="1" customFormat="1" ht="18" customHeight="1" x14ac:dyDescent="0.3">
      <c r="B9" s="2" t="s">
        <v>400</v>
      </c>
      <c r="C9" s="2" t="s">
        <v>57</v>
      </c>
      <c r="D9" s="2" t="s">
        <v>92</v>
      </c>
      <c r="E9" s="2" t="s">
        <v>404</v>
      </c>
      <c r="F9" s="2" t="s">
        <v>225</v>
      </c>
      <c r="G9" s="2" t="s">
        <v>95</v>
      </c>
      <c r="H9" s="2" t="s">
        <v>405</v>
      </c>
      <c r="I9" s="2" t="s">
        <v>406</v>
      </c>
    </row>
    <row r="10" spans="2:9" s="1" customFormat="1" ht="18" customHeight="1" x14ac:dyDescent="0.3">
      <c r="B10" s="2" t="s">
        <v>400</v>
      </c>
      <c r="C10" s="2" t="s">
        <v>62</v>
      </c>
      <c r="D10" s="2" t="s">
        <v>92</v>
      </c>
      <c r="E10" s="2" t="s">
        <v>407</v>
      </c>
      <c r="F10" s="2" t="s">
        <v>237</v>
      </c>
      <c r="G10" s="2" t="s">
        <v>95</v>
      </c>
      <c r="H10" s="2" t="s">
        <v>408</v>
      </c>
      <c r="I10" s="2" t="s">
        <v>409</v>
      </c>
    </row>
    <row r="11" spans="2:9" s="1" customFormat="1" ht="18" customHeight="1" x14ac:dyDescent="0.3">
      <c r="B11" s="2" t="s">
        <v>400</v>
      </c>
      <c r="C11" s="2" t="s">
        <v>62</v>
      </c>
      <c r="D11" s="2" t="s">
        <v>92</v>
      </c>
      <c r="E11" s="2" t="s">
        <v>410</v>
      </c>
      <c r="F11" s="2" t="s">
        <v>229</v>
      </c>
      <c r="G11" s="2" t="s">
        <v>100</v>
      </c>
      <c r="H11" s="2" t="s">
        <v>411</v>
      </c>
      <c r="I11" s="2" t="s">
        <v>412</v>
      </c>
    </row>
    <row r="12" spans="2:9" s="1" customFormat="1" ht="18" customHeight="1" x14ac:dyDescent="0.3">
      <c r="B12" s="2" t="s">
        <v>400</v>
      </c>
      <c r="C12" s="2" t="s">
        <v>52</v>
      </c>
      <c r="D12" s="2" t="s">
        <v>92</v>
      </c>
      <c r="E12" s="2" t="s">
        <v>413</v>
      </c>
      <c r="F12" s="2" t="s">
        <v>245</v>
      </c>
      <c r="G12" s="2" t="s">
        <v>105</v>
      </c>
      <c r="H12" s="2" t="s">
        <v>414</v>
      </c>
      <c r="I12" s="2" t="s">
        <v>415</v>
      </c>
    </row>
    <row r="13" spans="2:9" s="1" customFormat="1" ht="18" customHeight="1" x14ac:dyDescent="0.3">
      <c r="B13" s="2" t="s">
        <v>400</v>
      </c>
      <c r="C13" s="2" t="s">
        <v>57</v>
      </c>
      <c r="D13" s="2" t="s">
        <v>92</v>
      </c>
      <c r="E13" s="2" t="s">
        <v>416</v>
      </c>
      <c r="F13" s="2" t="s">
        <v>417</v>
      </c>
      <c r="G13" s="2" t="s">
        <v>105</v>
      </c>
      <c r="H13" s="2" t="s">
        <v>418</v>
      </c>
      <c r="I13" s="2" t="s">
        <v>419</v>
      </c>
    </row>
    <row r="14" spans="2:9" s="1" customFormat="1" ht="18" customHeight="1" x14ac:dyDescent="0.3">
      <c r="B14" s="2"/>
      <c r="C14" s="2"/>
      <c r="D14" s="2"/>
      <c r="E14" s="2"/>
      <c r="F14" s="2"/>
      <c r="G14" s="2"/>
      <c r="H14" s="2"/>
      <c r="I14" s="2"/>
    </row>
    <row r="15" spans="2:9" s="1" customFormat="1" ht="18" customHeight="1" x14ac:dyDescent="0.3">
      <c r="B15" s="2"/>
      <c r="C15" s="2"/>
      <c r="D15" s="2"/>
      <c r="E15" s="2"/>
      <c r="F15" s="2"/>
      <c r="G15" s="2"/>
      <c r="H15" s="2"/>
      <c r="I15" s="2"/>
    </row>
    <row r="17" spans="2:9" s="1" customFormat="1" ht="21.75" customHeight="1" x14ac:dyDescent="0.3">
      <c r="B17" s="23" t="s">
        <v>130</v>
      </c>
      <c r="C17" s="25"/>
      <c r="D17" s="25"/>
      <c r="E17" s="25"/>
      <c r="F17" s="25"/>
      <c r="G17" s="25"/>
      <c r="H17" s="25"/>
      <c r="I17" s="18"/>
    </row>
    <row r="18" spans="2:9" s="1" customFormat="1" ht="13.5" customHeight="1" x14ac:dyDescent="0.3">
      <c r="B18" s="31" t="s">
        <v>31</v>
      </c>
      <c r="C18" s="30"/>
      <c r="D18" s="30"/>
      <c r="E18" s="30"/>
      <c r="F18" s="30"/>
      <c r="G18" s="30"/>
      <c r="H18" s="30"/>
      <c r="I18" s="30"/>
    </row>
    <row r="19" spans="2:9" s="1" customFormat="1" ht="19.5" customHeight="1" x14ac:dyDescent="0.3">
      <c r="B19" s="11" t="s">
        <v>131</v>
      </c>
      <c r="C19" s="11" t="s">
        <v>84</v>
      </c>
      <c r="D19" s="32" t="s">
        <v>132</v>
      </c>
      <c r="E19" s="25"/>
      <c r="F19" s="18"/>
      <c r="G19" s="32" t="s">
        <v>133</v>
      </c>
      <c r="H19" s="18"/>
      <c r="I19" s="11" t="s">
        <v>51</v>
      </c>
    </row>
    <row r="20" spans="2:9" s="1" customFormat="1" ht="15.75" customHeight="1" x14ac:dyDescent="0.3">
      <c r="B20" s="33" t="s">
        <v>134</v>
      </c>
      <c r="C20" s="25"/>
      <c r="D20" s="25"/>
      <c r="E20" s="25"/>
      <c r="F20" s="25"/>
      <c r="G20" s="25"/>
      <c r="H20" s="25"/>
      <c r="I20" s="18"/>
    </row>
    <row r="21" spans="2:9" s="1" customFormat="1" ht="18" customHeight="1" x14ac:dyDescent="0.3">
      <c r="B21" s="2"/>
      <c r="C21" s="2" t="s">
        <v>52</v>
      </c>
      <c r="D21" s="2"/>
      <c r="E21" s="2" t="s">
        <v>420</v>
      </c>
      <c r="F21" s="2"/>
      <c r="G21" s="2"/>
      <c r="H21" s="2"/>
      <c r="I21" s="2"/>
    </row>
    <row r="22" spans="2:9" s="1" customFormat="1" ht="18" customHeight="1" x14ac:dyDescent="0.3">
      <c r="B22" s="2"/>
      <c r="C22" s="2"/>
      <c r="D22" s="2"/>
      <c r="E22" s="2"/>
      <c r="F22" s="2"/>
      <c r="G22" s="2"/>
      <c r="H22" s="2"/>
      <c r="I22" s="2"/>
    </row>
    <row r="23" spans="2:9" s="1" customFormat="1" ht="18" customHeight="1" x14ac:dyDescent="0.3">
      <c r="B23" s="2"/>
      <c r="C23" s="2"/>
      <c r="D23" s="2"/>
      <c r="E23" s="2"/>
      <c r="F23" s="2"/>
      <c r="G23" s="2"/>
      <c r="H23" s="2"/>
      <c r="I23" s="2"/>
    </row>
    <row r="24" spans="2:9" s="1" customFormat="1" ht="15.75" customHeight="1" x14ac:dyDescent="0.3">
      <c r="B24" s="33" t="s">
        <v>144</v>
      </c>
      <c r="C24" s="25"/>
      <c r="D24" s="25"/>
      <c r="E24" s="25"/>
      <c r="F24" s="25"/>
      <c r="G24" s="25"/>
      <c r="H24" s="25"/>
      <c r="I24" s="18"/>
    </row>
    <row r="25" spans="2:9" s="1" customFormat="1" ht="18" customHeight="1" x14ac:dyDescent="0.3">
      <c r="B25" s="2"/>
      <c r="C25" s="2" t="s">
        <v>52</v>
      </c>
      <c r="D25" s="2"/>
      <c r="E25" s="2" t="s">
        <v>421</v>
      </c>
      <c r="F25" s="2"/>
      <c r="G25" s="2"/>
      <c r="H25" s="2"/>
      <c r="I25" s="2"/>
    </row>
    <row r="26" spans="2:9" s="1" customFormat="1" ht="18" customHeight="1" x14ac:dyDescent="0.3">
      <c r="B26" s="2"/>
      <c r="C26" s="2"/>
      <c r="D26" s="2"/>
      <c r="E26" s="2"/>
      <c r="F26" s="2"/>
      <c r="G26" s="2"/>
      <c r="H26" s="2"/>
      <c r="I26" s="2"/>
    </row>
    <row r="27" spans="2:9" s="1" customFormat="1" ht="18" customHeight="1" x14ac:dyDescent="0.3">
      <c r="B27" s="2"/>
      <c r="C27" s="2"/>
      <c r="D27" s="2"/>
      <c r="E27" s="2"/>
      <c r="F27" s="2"/>
      <c r="G27" s="2"/>
      <c r="H27" s="2"/>
      <c r="I27" s="2"/>
    </row>
    <row r="28" spans="2:9" s="1" customFormat="1" ht="15.75" customHeight="1" x14ac:dyDescent="0.3">
      <c r="B28" s="33" t="s">
        <v>154</v>
      </c>
      <c r="C28" s="25"/>
      <c r="D28" s="25"/>
      <c r="E28" s="25"/>
      <c r="F28" s="25"/>
      <c r="G28" s="25"/>
      <c r="H28" s="25"/>
      <c r="I28" s="18"/>
    </row>
    <row r="29" spans="2:9" s="1" customFormat="1" ht="18" customHeight="1" x14ac:dyDescent="0.3">
      <c r="B29" s="2"/>
      <c r="C29" s="2" t="s">
        <v>52</v>
      </c>
      <c r="D29" s="2"/>
      <c r="E29" s="2" t="s">
        <v>422</v>
      </c>
      <c r="F29" s="2"/>
      <c r="G29" s="2"/>
      <c r="H29" s="2"/>
      <c r="I29" s="2"/>
    </row>
    <row r="30" spans="2:9" s="1" customFormat="1" ht="18" customHeight="1" x14ac:dyDescent="0.3">
      <c r="B30" s="2"/>
      <c r="C30" s="2"/>
      <c r="D30" s="2"/>
      <c r="E30" s="2"/>
      <c r="F30" s="2"/>
      <c r="G30" s="2"/>
      <c r="H30" s="2"/>
      <c r="I30" s="2"/>
    </row>
    <row r="31" spans="2:9" s="1" customFormat="1" ht="18" customHeight="1" x14ac:dyDescent="0.3">
      <c r="B31" s="2"/>
      <c r="C31" s="2"/>
      <c r="D31" s="2"/>
      <c r="E31" s="2"/>
      <c r="F31" s="2"/>
      <c r="G31" s="2"/>
      <c r="H31" s="2"/>
      <c r="I31" s="2"/>
    </row>
    <row r="32" spans="2:9" s="1" customFormat="1" ht="15.75" customHeight="1" x14ac:dyDescent="0.3">
      <c r="B32" s="33" t="s">
        <v>156</v>
      </c>
      <c r="C32" s="25"/>
      <c r="D32" s="25"/>
      <c r="E32" s="25"/>
      <c r="F32" s="25"/>
      <c r="G32" s="25"/>
      <c r="H32" s="25"/>
      <c r="I32" s="18"/>
    </row>
    <row r="33" spans="2:9" s="1" customFormat="1" ht="18" customHeight="1" x14ac:dyDescent="0.3">
      <c r="B33" s="2"/>
      <c r="C33" s="2"/>
      <c r="D33" s="2"/>
      <c r="E33" s="2"/>
      <c r="F33" s="2"/>
      <c r="G33" s="2"/>
      <c r="H33" s="2"/>
      <c r="I33" s="2"/>
    </row>
    <row r="34" spans="2:9" s="1" customFormat="1" ht="18" customHeight="1" x14ac:dyDescent="0.3">
      <c r="B34" s="2"/>
      <c r="C34" s="2"/>
      <c r="D34" s="2"/>
      <c r="E34" s="2"/>
      <c r="F34" s="2"/>
      <c r="G34" s="2"/>
      <c r="H34" s="2"/>
      <c r="I34" s="2"/>
    </row>
    <row r="35" spans="2:9" s="1" customFormat="1" ht="18" customHeight="1" x14ac:dyDescent="0.3">
      <c r="B35" s="2"/>
      <c r="C35" s="2"/>
      <c r="D35" s="2"/>
      <c r="E35" s="2"/>
      <c r="F35" s="2"/>
      <c r="G35" s="2"/>
      <c r="H35" s="2"/>
      <c r="I35" s="2"/>
    </row>
    <row r="37" spans="2:9" s="1" customFormat="1" ht="21.75" customHeight="1" x14ac:dyDescent="0.3">
      <c r="B37" s="22" t="s">
        <v>157</v>
      </c>
      <c r="C37" s="25"/>
      <c r="D37" s="25"/>
      <c r="E37" s="25"/>
      <c r="F37" s="25"/>
      <c r="G37" s="25"/>
      <c r="H37" s="25"/>
      <c r="I37" s="18"/>
    </row>
    <row r="38" spans="2:9" s="1" customFormat="1" ht="13.5" customHeight="1" x14ac:dyDescent="0.3">
      <c r="B38" s="31" t="s">
        <v>158</v>
      </c>
      <c r="C38" s="30"/>
      <c r="D38" s="30"/>
      <c r="E38" s="30"/>
      <c r="F38" s="30"/>
      <c r="G38" s="30"/>
      <c r="H38" s="30"/>
      <c r="I38" s="30"/>
    </row>
    <row r="39" spans="2:9" s="1" customFormat="1" ht="19.5" customHeight="1" x14ac:dyDescent="0.3">
      <c r="B39" s="12" t="s">
        <v>159</v>
      </c>
      <c r="C39" s="12" t="s">
        <v>160</v>
      </c>
      <c r="D39" s="12" t="s">
        <v>161</v>
      </c>
      <c r="E39" s="34" t="s">
        <v>162</v>
      </c>
      <c r="F39" s="25"/>
      <c r="G39" s="25"/>
      <c r="H39" s="25"/>
      <c r="I39" s="18"/>
    </row>
    <row r="40" spans="2:9" s="1" customFormat="1" ht="21.75" customHeight="1" x14ac:dyDescent="0.3">
      <c r="B40" s="35" t="s">
        <v>163</v>
      </c>
      <c r="C40" s="25"/>
      <c r="D40" s="18"/>
      <c r="E40" s="36" t="s">
        <v>423</v>
      </c>
      <c r="F40" s="25"/>
      <c r="G40" s="25"/>
      <c r="H40" s="25"/>
      <c r="I40" s="18"/>
    </row>
    <row r="41" spans="2:9" s="1" customFormat="1" ht="21.75" customHeight="1" x14ac:dyDescent="0.3">
      <c r="B41" s="37" t="s">
        <v>165</v>
      </c>
      <c r="C41" s="25"/>
      <c r="D41" s="18"/>
      <c r="E41" s="36" t="s">
        <v>424</v>
      </c>
      <c r="F41" s="25"/>
      <c r="G41" s="25"/>
      <c r="H41" s="25"/>
      <c r="I41" s="18"/>
    </row>
    <row r="42" spans="2:9" s="1" customFormat="1" ht="21.75" customHeight="1" x14ac:dyDescent="0.3">
      <c r="B42" s="37" t="s">
        <v>167</v>
      </c>
      <c r="C42" s="25"/>
      <c r="D42" s="18"/>
      <c r="E42" s="36" t="s">
        <v>425</v>
      </c>
      <c r="F42" s="25"/>
      <c r="G42" s="25"/>
      <c r="H42" s="25"/>
      <c r="I42" s="18"/>
    </row>
    <row r="43" spans="2:9" s="1" customFormat="1" ht="21.75" customHeight="1" x14ac:dyDescent="0.3">
      <c r="B43" s="37" t="s">
        <v>169</v>
      </c>
      <c r="C43" s="25"/>
      <c r="D43" s="18"/>
      <c r="E43" s="36" t="s">
        <v>426</v>
      </c>
      <c r="F43" s="25"/>
      <c r="G43" s="25"/>
      <c r="H43" s="25"/>
      <c r="I43" s="18"/>
    </row>
    <row r="44" spans="2:9" s="1" customFormat="1" ht="21.75" customHeight="1" x14ac:dyDescent="0.3">
      <c r="B44" s="35" t="s">
        <v>382</v>
      </c>
      <c r="C44" s="25"/>
      <c r="D44" s="18"/>
      <c r="E44" s="36"/>
      <c r="F44" s="25"/>
      <c r="G44" s="25"/>
      <c r="H44" s="25"/>
      <c r="I44" s="18"/>
    </row>
    <row r="45" spans="2:9" s="1" customFormat="1" ht="21.75" customHeight="1" x14ac:dyDescent="0.3">
      <c r="B45" s="37" t="s">
        <v>165</v>
      </c>
      <c r="C45" s="25"/>
      <c r="D45" s="18"/>
      <c r="E45" s="36"/>
      <c r="F45" s="25"/>
      <c r="G45" s="25"/>
      <c r="H45" s="25"/>
      <c r="I45" s="18"/>
    </row>
    <row r="46" spans="2:9" s="1" customFormat="1" ht="21.75" customHeight="1" x14ac:dyDescent="0.3">
      <c r="B46" s="37" t="s">
        <v>167</v>
      </c>
      <c r="C46" s="25"/>
      <c r="D46" s="18"/>
      <c r="E46" s="36"/>
      <c r="F46" s="25"/>
      <c r="G46" s="25"/>
      <c r="H46" s="25"/>
      <c r="I46" s="18"/>
    </row>
    <row r="47" spans="2:9" s="1" customFormat="1" ht="21.75" customHeight="1" x14ac:dyDescent="0.3">
      <c r="B47" s="37" t="s">
        <v>169</v>
      </c>
      <c r="C47" s="25"/>
      <c r="D47" s="18"/>
      <c r="E47" s="36"/>
      <c r="F47" s="25"/>
      <c r="G47" s="25"/>
      <c r="H47" s="25"/>
      <c r="I47" s="18"/>
    </row>
    <row r="48" spans="2:9" s="1" customFormat="1" ht="21.75" customHeight="1" x14ac:dyDescent="0.3">
      <c r="B48" s="35" t="s">
        <v>383</v>
      </c>
      <c r="C48" s="25"/>
      <c r="D48" s="18"/>
      <c r="E48" s="36"/>
      <c r="F48" s="25"/>
      <c r="G48" s="25"/>
      <c r="H48" s="25"/>
      <c r="I48" s="18"/>
    </row>
    <row r="49" spans="2:9" s="1" customFormat="1" ht="21.75" customHeight="1" x14ac:dyDescent="0.3">
      <c r="B49" s="37" t="s">
        <v>165</v>
      </c>
      <c r="C49" s="25"/>
      <c r="D49" s="18"/>
      <c r="E49" s="36"/>
      <c r="F49" s="25"/>
      <c r="G49" s="25"/>
      <c r="H49" s="25"/>
      <c r="I49" s="18"/>
    </row>
    <row r="50" spans="2:9" s="1" customFormat="1" ht="21.75" customHeight="1" x14ac:dyDescent="0.3">
      <c r="B50" s="37" t="s">
        <v>167</v>
      </c>
      <c r="C50" s="25"/>
      <c r="D50" s="18"/>
      <c r="E50" s="36"/>
      <c r="F50" s="25"/>
      <c r="G50" s="25"/>
      <c r="H50" s="25"/>
      <c r="I50" s="18"/>
    </row>
    <row r="51" spans="2:9" s="1" customFormat="1" ht="21.75" customHeight="1" x14ac:dyDescent="0.3">
      <c r="B51" s="37" t="s">
        <v>169</v>
      </c>
      <c r="C51" s="25"/>
      <c r="D51" s="18"/>
      <c r="E51" s="36"/>
      <c r="F51" s="25"/>
      <c r="G51" s="25"/>
      <c r="H51" s="25"/>
      <c r="I51" s="18"/>
    </row>
    <row r="52" spans="2:9" s="1" customFormat="1" ht="21.75" customHeight="1" x14ac:dyDescent="0.3">
      <c r="B52" s="35" t="s">
        <v>181</v>
      </c>
      <c r="C52" s="25"/>
      <c r="D52" s="18"/>
      <c r="E52" s="36"/>
      <c r="F52" s="25"/>
      <c r="G52" s="25"/>
      <c r="H52" s="25"/>
      <c r="I52" s="18"/>
    </row>
    <row r="53" spans="2:9" s="1" customFormat="1" ht="21.75" customHeight="1" x14ac:dyDescent="0.3">
      <c r="B53" s="37" t="s">
        <v>165</v>
      </c>
      <c r="C53" s="25"/>
      <c r="D53" s="18"/>
      <c r="E53" s="36"/>
      <c r="F53" s="25"/>
      <c r="G53" s="25"/>
      <c r="H53" s="25"/>
      <c r="I53" s="18"/>
    </row>
    <row r="54" spans="2:9" s="1" customFormat="1" ht="21.75" customHeight="1" x14ac:dyDescent="0.3">
      <c r="B54" s="37" t="s">
        <v>167</v>
      </c>
      <c r="C54" s="25"/>
      <c r="D54" s="18"/>
      <c r="E54" s="36"/>
      <c r="F54" s="25"/>
      <c r="G54" s="25"/>
      <c r="H54" s="25"/>
      <c r="I54" s="18"/>
    </row>
    <row r="55" spans="2:9" s="1" customFormat="1" ht="21.75" customHeight="1" x14ac:dyDescent="0.3">
      <c r="B55" s="37" t="s">
        <v>169</v>
      </c>
      <c r="C55" s="25"/>
      <c r="D55" s="18"/>
      <c r="E55" s="36"/>
      <c r="F55" s="25"/>
      <c r="G55" s="25"/>
      <c r="H55" s="25"/>
      <c r="I55" s="18"/>
    </row>
    <row r="56" spans="2:9" x14ac:dyDescent="0.3">
      <c r="E56" s="36"/>
      <c r="F56" s="25"/>
      <c r="G56" s="25"/>
      <c r="H56" s="25"/>
      <c r="I56" s="18"/>
    </row>
    <row r="57" spans="2:9" s="1" customFormat="1" ht="21.75" customHeight="1" x14ac:dyDescent="0.3">
      <c r="B57" s="40" t="s">
        <v>182</v>
      </c>
      <c r="C57" s="25"/>
      <c r="D57" s="25"/>
      <c r="E57" s="25"/>
      <c r="F57" s="25"/>
      <c r="G57" s="25"/>
      <c r="H57" s="25"/>
      <c r="I57" s="18"/>
    </row>
    <row r="58" spans="2:9" s="1" customFormat="1" ht="13.5" customHeight="1" x14ac:dyDescent="0.3">
      <c r="B58" s="31" t="s">
        <v>183</v>
      </c>
      <c r="C58" s="30"/>
      <c r="D58" s="30"/>
      <c r="E58" s="30"/>
      <c r="F58" s="30"/>
      <c r="G58" s="30"/>
      <c r="H58" s="30"/>
      <c r="I58" s="30"/>
    </row>
    <row r="59" spans="2:9" s="1" customFormat="1" ht="18" customHeight="1" x14ac:dyDescent="0.3">
      <c r="B59" s="41" t="s">
        <v>184</v>
      </c>
      <c r="C59" s="25"/>
      <c r="D59" s="25"/>
      <c r="E59" s="25"/>
      <c r="F59" s="25"/>
      <c r="G59" s="25"/>
      <c r="H59" s="25"/>
      <c r="I59" s="18"/>
    </row>
    <row r="60" spans="2:9" s="1" customFormat="1" ht="18" customHeight="1" x14ac:dyDescent="0.3">
      <c r="B60" s="42" t="s">
        <v>185</v>
      </c>
      <c r="C60" s="25"/>
      <c r="D60" s="18"/>
      <c r="E60" s="43" t="s">
        <v>427</v>
      </c>
      <c r="F60" s="30"/>
      <c r="G60" s="30"/>
      <c r="H60" s="30"/>
      <c r="I60" s="30"/>
    </row>
    <row r="61" spans="2:9" s="1" customFormat="1" ht="18" customHeight="1" x14ac:dyDescent="0.3">
      <c r="B61" s="42" t="s">
        <v>187</v>
      </c>
      <c r="C61" s="25"/>
      <c r="D61" s="18"/>
      <c r="E61" s="43" t="s">
        <v>428</v>
      </c>
      <c r="F61" s="30"/>
      <c r="G61" s="30"/>
      <c r="H61" s="30"/>
      <c r="I61" s="30"/>
    </row>
    <row r="62" spans="2:9" s="1" customFormat="1" ht="18" customHeight="1" x14ac:dyDescent="0.3">
      <c r="B62" s="42" t="s">
        <v>189</v>
      </c>
      <c r="C62" s="25"/>
      <c r="D62" s="18"/>
      <c r="E62" s="43" t="s">
        <v>429</v>
      </c>
      <c r="F62" s="30"/>
      <c r="G62" s="30"/>
      <c r="H62" s="30"/>
      <c r="I62" s="30"/>
    </row>
    <row r="63" spans="2:9" s="1" customFormat="1" ht="18" customHeight="1" x14ac:dyDescent="0.3">
      <c r="B63" s="42" t="s">
        <v>191</v>
      </c>
      <c r="C63" s="25"/>
      <c r="D63" s="18"/>
      <c r="E63" s="43" t="s">
        <v>430</v>
      </c>
      <c r="F63" s="30"/>
      <c r="G63" s="30"/>
      <c r="H63" s="30"/>
      <c r="I63" s="30"/>
    </row>
    <row r="64" spans="2:9" s="1" customFormat="1" ht="18" customHeight="1" x14ac:dyDescent="0.3">
      <c r="B64" s="42" t="s">
        <v>193</v>
      </c>
      <c r="C64" s="25"/>
      <c r="D64" s="18"/>
      <c r="E64" s="43" t="s">
        <v>431</v>
      </c>
      <c r="F64" s="30"/>
      <c r="G64" s="30"/>
      <c r="H64" s="30"/>
      <c r="I64" s="30"/>
    </row>
    <row r="66" spans="2:9" s="1" customFormat="1" ht="18" customHeight="1" x14ac:dyDescent="0.3">
      <c r="B66" s="41" t="s">
        <v>195</v>
      </c>
      <c r="C66" s="25"/>
      <c r="D66" s="25"/>
      <c r="E66" s="25"/>
      <c r="F66" s="25"/>
      <c r="G66" s="25"/>
      <c r="H66" s="25"/>
      <c r="I66" s="18"/>
    </row>
    <row r="67" spans="2:9" s="1" customFormat="1" ht="18" customHeight="1" x14ac:dyDescent="0.3">
      <c r="B67" s="42" t="s">
        <v>185</v>
      </c>
      <c r="C67" s="25"/>
      <c r="D67" s="18"/>
      <c r="E67" s="43" t="s">
        <v>208</v>
      </c>
      <c r="F67" s="30"/>
      <c r="G67" s="30"/>
      <c r="H67" s="30"/>
      <c r="I67" s="30"/>
    </row>
    <row r="68" spans="2:9" s="1" customFormat="1" ht="18" customHeight="1" x14ac:dyDescent="0.3">
      <c r="B68" s="42" t="s">
        <v>187</v>
      </c>
      <c r="C68" s="25"/>
      <c r="D68" s="18"/>
      <c r="E68" s="43" t="s">
        <v>209</v>
      </c>
      <c r="F68" s="30"/>
      <c r="G68" s="30"/>
      <c r="H68" s="30"/>
      <c r="I68" s="30"/>
    </row>
    <row r="69" spans="2:9" s="1" customFormat="1" ht="18" customHeight="1" x14ac:dyDescent="0.3">
      <c r="B69" s="42" t="s">
        <v>189</v>
      </c>
      <c r="C69" s="25"/>
      <c r="D69" s="18"/>
      <c r="E69" s="43" t="s">
        <v>210</v>
      </c>
      <c r="F69" s="30"/>
      <c r="G69" s="30"/>
      <c r="H69" s="30"/>
      <c r="I69" s="30"/>
    </row>
    <row r="70" spans="2:9" s="1" customFormat="1" ht="18" customHeight="1" x14ac:dyDescent="0.3">
      <c r="B70" s="42" t="s">
        <v>191</v>
      </c>
      <c r="C70" s="25"/>
      <c r="D70" s="18"/>
      <c r="E70" s="43" t="s">
        <v>211</v>
      </c>
      <c r="F70" s="30"/>
      <c r="G70" s="30"/>
      <c r="H70" s="30"/>
      <c r="I70" s="30"/>
    </row>
    <row r="71" spans="2:9" s="1" customFormat="1" ht="18" customHeight="1" x14ac:dyDescent="0.3">
      <c r="B71" s="42" t="s">
        <v>193</v>
      </c>
      <c r="C71" s="25"/>
      <c r="D71" s="18"/>
      <c r="E71" s="43" t="s">
        <v>212</v>
      </c>
      <c r="F71" s="30"/>
      <c r="G71" s="30"/>
      <c r="H71" s="30"/>
      <c r="I71" s="30"/>
    </row>
    <row r="73" spans="2:9" s="1" customFormat="1" ht="18" customHeight="1" x14ac:dyDescent="0.3">
      <c r="B73" s="41" t="s">
        <v>201</v>
      </c>
      <c r="C73" s="25"/>
      <c r="D73" s="25"/>
      <c r="E73" s="25"/>
      <c r="F73" s="25"/>
      <c r="G73" s="25"/>
      <c r="H73" s="25"/>
      <c r="I73" s="18"/>
    </row>
    <row r="74" spans="2:9" s="1" customFormat="1" ht="18" customHeight="1" x14ac:dyDescent="0.3">
      <c r="B74" s="42" t="s">
        <v>185</v>
      </c>
      <c r="C74" s="25"/>
      <c r="D74" s="18"/>
      <c r="E74" s="37" t="s">
        <v>208</v>
      </c>
      <c r="F74" s="25"/>
      <c r="G74" s="25"/>
      <c r="H74" s="25"/>
      <c r="I74" s="18"/>
    </row>
    <row r="75" spans="2:9" s="1" customFormat="1" ht="18" customHeight="1" x14ac:dyDescent="0.3">
      <c r="B75" s="42" t="s">
        <v>187</v>
      </c>
      <c r="C75" s="25"/>
      <c r="D75" s="18"/>
      <c r="E75" s="37" t="s">
        <v>209</v>
      </c>
      <c r="F75" s="25"/>
      <c r="G75" s="25"/>
      <c r="H75" s="25"/>
      <c r="I75" s="18"/>
    </row>
    <row r="76" spans="2:9" s="1" customFormat="1" ht="18" customHeight="1" x14ac:dyDescent="0.3">
      <c r="B76" s="42" t="s">
        <v>189</v>
      </c>
      <c r="C76" s="25"/>
      <c r="D76" s="18"/>
      <c r="E76" s="37" t="s">
        <v>210</v>
      </c>
      <c r="F76" s="25"/>
      <c r="G76" s="25"/>
      <c r="H76" s="25"/>
      <c r="I76" s="18"/>
    </row>
    <row r="77" spans="2:9" s="1" customFormat="1" ht="18" customHeight="1" x14ac:dyDescent="0.3">
      <c r="B77" s="42" t="s">
        <v>191</v>
      </c>
      <c r="C77" s="25"/>
      <c r="D77" s="18"/>
      <c r="E77" s="37" t="s">
        <v>211</v>
      </c>
      <c r="F77" s="25"/>
      <c r="G77" s="25"/>
      <c r="H77" s="25"/>
      <c r="I77" s="18"/>
    </row>
    <row r="78" spans="2:9" s="1" customFormat="1" ht="18" customHeight="1" x14ac:dyDescent="0.3">
      <c r="B78" s="42" t="s">
        <v>193</v>
      </c>
      <c r="C78" s="25"/>
      <c r="D78" s="18"/>
      <c r="E78" s="37" t="s">
        <v>212</v>
      </c>
      <c r="F78" s="25"/>
      <c r="G78" s="25"/>
      <c r="H78" s="25"/>
      <c r="I78" s="18"/>
    </row>
    <row r="80" spans="2:9" s="1" customFormat="1" ht="18" customHeight="1" x14ac:dyDescent="0.3">
      <c r="B80" s="41" t="s">
        <v>207</v>
      </c>
      <c r="C80" s="25"/>
      <c r="D80" s="25"/>
      <c r="E80" s="25"/>
      <c r="F80" s="25"/>
      <c r="G80" s="25"/>
      <c r="H80" s="25"/>
      <c r="I80" s="18"/>
    </row>
    <row r="81" spans="2:9" s="1" customFormat="1" ht="18" customHeight="1" x14ac:dyDescent="0.3">
      <c r="B81" s="42" t="s">
        <v>185</v>
      </c>
      <c r="C81" s="25"/>
      <c r="D81" s="18"/>
      <c r="E81" s="37" t="s">
        <v>208</v>
      </c>
      <c r="F81" s="25"/>
      <c r="G81" s="25"/>
      <c r="H81" s="25"/>
      <c r="I81" s="18"/>
    </row>
    <row r="82" spans="2:9" s="1" customFormat="1" ht="18" customHeight="1" x14ac:dyDescent="0.3">
      <c r="B82" s="42" t="s">
        <v>187</v>
      </c>
      <c r="C82" s="25"/>
      <c r="D82" s="18"/>
      <c r="E82" s="37" t="s">
        <v>209</v>
      </c>
      <c r="F82" s="25"/>
      <c r="G82" s="25"/>
      <c r="H82" s="25"/>
      <c r="I82" s="18"/>
    </row>
    <row r="83" spans="2:9" s="1" customFormat="1" ht="18" customHeight="1" x14ac:dyDescent="0.3">
      <c r="B83" s="42" t="s">
        <v>189</v>
      </c>
      <c r="C83" s="25"/>
      <c r="D83" s="18"/>
      <c r="E83" s="37" t="s">
        <v>210</v>
      </c>
      <c r="F83" s="25"/>
      <c r="G83" s="25"/>
      <c r="H83" s="25"/>
      <c r="I83" s="18"/>
    </row>
    <row r="84" spans="2:9" s="1" customFormat="1" ht="18" customHeight="1" x14ac:dyDescent="0.3">
      <c r="B84" s="42" t="s">
        <v>191</v>
      </c>
      <c r="C84" s="25"/>
      <c r="D84" s="18"/>
      <c r="E84" s="37" t="s">
        <v>211</v>
      </c>
      <c r="F84" s="25"/>
      <c r="G84" s="25"/>
      <c r="H84" s="25"/>
      <c r="I84" s="18"/>
    </row>
    <row r="85" spans="2:9" s="1" customFormat="1" ht="18" customHeight="1" x14ac:dyDescent="0.3">
      <c r="B85" s="42" t="s">
        <v>193</v>
      </c>
      <c r="C85" s="25"/>
      <c r="D85" s="18"/>
      <c r="E85" s="37" t="s">
        <v>212</v>
      </c>
      <c r="F85" s="25"/>
      <c r="G85" s="25"/>
      <c r="H85" s="25"/>
      <c r="I85" s="18"/>
    </row>
    <row r="87" spans="2:9" s="1" customFormat="1" ht="18" customHeight="1" x14ac:dyDescent="0.3">
      <c r="B87" s="41" t="s">
        <v>213</v>
      </c>
      <c r="C87" s="25"/>
      <c r="D87" s="25"/>
      <c r="E87" s="25"/>
      <c r="F87" s="25"/>
      <c r="G87" s="25"/>
      <c r="H87" s="25"/>
      <c r="I87" s="18"/>
    </row>
    <row r="88" spans="2:9" s="1" customFormat="1" ht="18" customHeight="1" x14ac:dyDescent="0.3">
      <c r="B88" s="42" t="s">
        <v>185</v>
      </c>
      <c r="C88" s="25"/>
      <c r="D88" s="18"/>
      <c r="E88" s="37" t="s">
        <v>208</v>
      </c>
      <c r="F88" s="25"/>
      <c r="G88" s="25"/>
      <c r="H88" s="25"/>
      <c r="I88" s="18"/>
    </row>
    <row r="89" spans="2:9" s="1" customFormat="1" ht="18" customHeight="1" x14ac:dyDescent="0.3">
      <c r="B89" s="42" t="s">
        <v>187</v>
      </c>
      <c r="C89" s="25"/>
      <c r="D89" s="18"/>
      <c r="E89" s="37" t="s">
        <v>209</v>
      </c>
      <c r="F89" s="25"/>
      <c r="G89" s="25"/>
      <c r="H89" s="25"/>
      <c r="I89" s="18"/>
    </row>
    <row r="90" spans="2:9" s="1" customFormat="1" ht="18" customHeight="1" x14ac:dyDescent="0.3">
      <c r="B90" s="42" t="s">
        <v>189</v>
      </c>
      <c r="C90" s="25"/>
      <c r="D90" s="18"/>
      <c r="E90" s="37" t="s">
        <v>210</v>
      </c>
      <c r="F90" s="25"/>
      <c r="G90" s="25"/>
      <c r="H90" s="25"/>
      <c r="I90" s="18"/>
    </row>
    <row r="91" spans="2:9" s="1" customFormat="1" ht="18" customHeight="1" x14ac:dyDescent="0.3">
      <c r="B91" s="42" t="s">
        <v>191</v>
      </c>
      <c r="C91" s="25"/>
      <c r="D91" s="18"/>
      <c r="E91" s="37" t="s">
        <v>211</v>
      </c>
      <c r="F91" s="25"/>
      <c r="G91" s="25"/>
      <c r="H91" s="25"/>
      <c r="I91" s="18"/>
    </row>
    <row r="92" spans="2:9" s="1" customFormat="1" ht="18" customHeight="1" x14ac:dyDescent="0.3">
      <c r="B92" s="42" t="s">
        <v>193</v>
      </c>
      <c r="C92" s="25"/>
      <c r="D92" s="18"/>
      <c r="E92" s="37" t="s">
        <v>212</v>
      </c>
      <c r="F92" s="25"/>
      <c r="G92" s="25"/>
      <c r="H92" s="25"/>
      <c r="I92" s="18"/>
    </row>
    <row r="94" spans="2:9" s="1" customFormat="1" ht="15.75" customHeight="1" x14ac:dyDescent="0.3">
      <c r="B94" s="45" t="s">
        <v>432</v>
      </c>
      <c r="C94" s="25"/>
      <c r="D94" s="25"/>
      <c r="E94" s="25"/>
      <c r="F94" s="25"/>
      <c r="G94" s="25"/>
      <c r="H94" s="25"/>
      <c r="I94" s="18"/>
    </row>
  </sheetData>
  <mergeCells count="106">
    <mergeCell ref="B92:D92"/>
    <mergeCell ref="E92:I92"/>
    <mergeCell ref="B94:I94"/>
    <mergeCell ref="B87:I87"/>
    <mergeCell ref="B88:D88"/>
    <mergeCell ref="E88:I88"/>
    <mergeCell ref="B89:D89"/>
    <mergeCell ref="E89:I89"/>
    <mergeCell ref="B90:D90"/>
    <mergeCell ref="E90:I90"/>
    <mergeCell ref="B91:D91"/>
    <mergeCell ref="E91:I91"/>
    <mergeCell ref="B81:D81"/>
    <mergeCell ref="E81:I81"/>
    <mergeCell ref="B82:D82"/>
    <mergeCell ref="E82:I82"/>
    <mergeCell ref="B83:D83"/>
    <mergeCell ref="E83:I83"/>
    <mergeCell ref="B84:D84"/>
    <mergeCell ref="E84:I84"/>
    <mergeCell ref="B85:D85"/>
    <mergeCell ref="E85:I85"/>
    <mergeCell ref="B75:D75"/>
    <mergeCell ref="E75:I75"/>
    <mergeCell ref="B76:D76"/>
    <mergeCell ref="E76:I76"/>
    <mergeCell ref="B77:D77"/>
    <mergeCell ref="E77:I77"/>
    <mergeCell ref="B78:D78"/>
    <mergeCell ref="E78:I78"/>
    <mergeCell ref="B80:I80"/>
    <mergeCell ref="B69:D69"/>
    <mergeCell ref="E69:I69"/>
    <mergeCell ref="B70:D70"/>
    <mergeCell ref="E70:I70"/>
    <mergeCell ref="B71:D71"/>
    <mergeCell ref="E71:I71"/>
    <mergeCell ref="B73:I73"/>
    <mergeCell ref="B74:D74"/>
    <mergeCell ref="E74:I74"/>
    <mergeCell ref="B63:D63"/>
    <mergeCell ref="E63:I63"/>
    <mergeCell ref="B64:D64"/>
    <mergeCell ref="E64:I64"/>
    <mergeCell ref="B66:I66"/>
    <mergeCell ref="B67:D67"/>
    <mergeCell ref="E67:I67"/>
    <mergeCell ref="B68:D68"/>
    <mergeCell ref="E68:I68"/>
    <mergeCell ref="B57:I57"/>
    <mergeCell ref="B58:I58"/>
    <mergeCell ref="B59:I59"/>
    <mergeCell ref="B60:D60"/>
    <mergeCell ref="E60:I60"/>
    <mergeCell ref="B61:D61"/>
    <mergeCell ref="E61:I61"/>
    <mergeCell ref="B62:D62"/>
    <mergeCell ref="E62:I62"/>
    <mergeCell ref="B52:D52"/>
    <mergeCell ref="E52:I52"/>
    <mergeCell ref="B53:D53"/>
    <mergeCell ref="E53:I53"/>
    <mergeCell ref="B54:D54"/>
    <mergeCell ref="E54:I54"/>
    <mergeCell ref="B55:D55"/>
    <mergeCell ref="E55:I55"/>
    <mergeCell ref="E56:I56"/>
    <mergeCell ref="B47:D47"/>
    <mergeCell ref="E47:I47"/>
    <mergeCell ref="B48:D48"/>
    <mergeCell ref="E48:I48"/>
    <mergeCell ref="B49:D49"/>
    <mergeCell ref="E49:I49"/>
    <mergeCell ref="B50:D50"/>
    <mergeCell ref="E50:I50"/>
    <mergeCell ref="B51:D51"/>
    <mergeCell ref="E51:I51"/>
    <mergeCell ref="B42:D42"/>
    <mergeCell ref="E42:I42"/>
    <mergeCell ref="B43:D43"/>
    <mergeCell ref="E43:I43"/>
    <mergeCell ref="B44:D44"/>
    <mergeCell ref="E44:I44"/>
    <mergeCell ref="B45:D45"/>
    <mergeCell ref="E45:I45"/>
    <mergeCell ref="B46:D46"/>
    <mergeCell ref="E46:I46"/>
    <mergeCell ref="B24:I24"/>
    <mergeCell ref="B28:I28"/>
    <mergeCell ref="B32:I32"/>
    <mergeCell ref="B37:I37"/>
    <mergeCell ref="B38:I38"/>
    <mergeCell ref="E39:I39"/>
    <mergeCell ref="B40:D40"/>
    <mergeCell ref="E40:I40"/>
    <mergeCell ref="B41:D41"/>
    <mergeCell ref="E41:I41"/>
    <mergeCell ref="B2:I2"/>
    <mergeCell ref="B3:I3"/>
    <mergeCell ref="B5:I5"/>
    <mergeCell ref="B6:I6"/>
    <mergeCell ref="B17:I17"/>
    <mergeCell ref="B18:I18"/>
    <mergeCell ref="D19:F19"/>
    <mergeCell ref="G19:H19"/>
    <mergeCell ref="B20:I20"/>
  </mergeCells>
  <pageMargins left="0.75" right="0.75" top="1" bottom="1" header="0.511811023622047" footer="0.511811023622047"/>
  <pageSetup paperSize="9" orientation="portrait" useFirstPageNumber="1"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94"/>
  <sheetViews>
    <sheetView showGridLines="0" zoomScaleNormal="100" workbookViewId="0">
      <selection activeCell="E71" sqref="E71"/>
    </sheetView>
  </sheetViews>
  <sheetFormatPr defaultColWidth="8.5546875" defaultRowHeight="14.4" customHeight="1" x14ac:dyDescent="0.3"/>
  <cols>
    <col min="1" max="1" width="3" style="1" customWidth="1"/>
    <col min="2" max="2" width="12" style="1" customWidth="1"/>
    <col min="3" max="3" width="6" style="1" customWidth="1"/>
    <col min="4" max="4" width="12.6640625" style="1" customWidth="1"/>
    <col min="5" max="5" width="32" style="1" customWidth="1"/>
    <col min="6" max="6" width="20" style="1" customWidth="1"/>
    <col min="7" max="7" width="12" style="1" customWidth="1"/>
    <col min="8" max="8" width="28" style="1" customWidth="1"/>
    <col min="9" max="9" width="22" style="1" customWidth="1"/>
  </cols>
  <sheetData>
    <row r="1" spans="2:9" s="1" customFormat="1" ht="13.5" customHeight="1" x14ac:dyDescent="0.3"/>
    <row r="2" spans="2:9" s="1" customFormat="1" ht="33.75" customHeight="1" x14ac:dyDescent="0.3">
      <c r="B2" s="28" t="s">
        <v>79</v>
      </c>
      <c r="C2" s="25"/>
      <c r="D2" s="25"/>
      <c r="E2" s="25"/>
      <c r="F2" s="25"/>
      <c r="G2" s="25"/>
      <c r="H2" s="25"/>
      <c r="I2" s="18"/>
    </row>
    <row r="3" spans="2:9" s="1" customFormat="1" ht="15.75" customHeight="1" x14ac:dyDescent="0.3">
      <c r="B3" s="29" t="s">
        <v>80</v>
      </c>
      <c r="C3" s="30"/>
      <c r="D3" s="30"/>
      <c r="E3" s="30"/>
      <c r="F3" s="30"/>
      <c r="G3" s="30"/>
      <c r="H3" s="30"/>
      <c r="I3" s="30"/>
    </row>
    <row r="5" spans="2:9" s="1" customFormat="1" ht="21.75" customHeight="1" x14ac:dyDescent="0.3">
      <c r="B5" s="21" t="s">
        <v>81</v>
      </c>
      <c r="C5" s="25"/>
      <c r="D5" s="25"/>
      <c r="E5" s="25"/>
      <c r="F5" s="25"/>
      <c r="G5" s="25"/>
      <c r="H5" s="25"/>
      <c r="I5" s="18"/>
    </row>
    <row r="6" spans="2:9" s="1" customFormat="1" ht="13.5" customHeight="1" x14ac:dyDescent="0.3">
      <c r="B6" s="31" t="s">
        <v>82</v>
      </c>
      <c r="C6" s="30"/>
      <c r="D6" s="30"/>
      <c r="E6" s="30"/>
      <c r="F6" s="30"/>
      <c r="G6" s="30"/>
      <c r="H6" s="30"/>
      <c r="I6" s="30"/>
    </row>
    <row r="7" spans="2:9" s="1" customFormat="1" ht="19.5" customHeight="1" x14ac:dyDescent="0.3">
      <c r="B7" s="4" t="s">
        <v>83</v>
      </c>
      <c r="C7" s="4" t="s">
        <v>84</v>
      </c>
      <c r="D7" s="4" t="s">
        <v>85</v>
      </c>
      <c r="E7" s="4" t="s">
        <v>86</v>
      </c>
      <c r="F7" s="4" t="s">
        <v>87</v>
      </c>
      <c r="G7" s="4" t="s">
        <v>88</v>
      </c>
      <c r="H7" s="4" t="s">
        <v>89</v>
      </c>
      <c r="I7" s="4" t="s">
        <v>90</v>
      </c>
    </row>
    <row r="8" spans="2:9" s="1" customFormat="1" ht="18" customHeight="1" x14ac:dyDescent="0.3">
      <c r="B8" s="2" t="s">
        <v>433</v>
      </c>
      <c r="C8" s="2" t="s">
        <v>52</v>
      </c>
      <c r="D8" s="2" t="s">
        <v>92</v>
      </c>
      <c r="E8" s="2" t="s">
        <v>434</v>
      </c>
      <c r="F8" s="2" t="s">
        <v>362</v>
      </c>
      <c r="G8" s="2" t="s">
        <v>95</v>
      </c>
      <c r="H8" s="2" t="s">
        <v>435</v>
      </c>
      <c r="I8" s="2" t="s">
        <v>436</v>
      </c>
    </row>
    <row r="9" spans="2:9" s="1" customFormat="1" ht="18" customHeight="1" x14ac:dyDescent="0.3">
      <c r="B9" s="2" t="s">
        <v>433</v>
      </c>
      <c r="C9" s="2" t="s">
        <v>57</v>
      </c>
      <c r="D9" s="2" t="s">
        <v>92</v>
      </c>
      <c r="E9" s="2" t="s">
        <v>437</v>
      </c>
      <c r="F9" s="2" t="s">
        <v>438</v>
      </c>
      <c r="G9" s="2" t="s">
        <v>95</v>
      </c>
      <c r="H9" s="2" t="s">
        <v>439</v>
      </c>
      <c r="I9" s="2" t="s">
        <v>440</v>
      </c>
    </row>
    <row r="10" spans="2:9" s="1" customFormat="1" ht="18" customHeight="1" x14ac:dyDescent="0.3">
      <c r="B10" s="2" t="s">
        <v>433</v>
      </c>
      <c r="C10" s="2" t="s">
        <v>62</v>
      </c>
      <c r="D10" s="2" t="s">
        <v>92</v>
      </c>
      <c r="E10" s="2" t="s">
        <v>441</v>
      </c>
      <c r="F10" s="2" t="s">
        <v>442</v>
      </c>
      <c r="G10" s="2" t="s">
        <v>100</v>
      </c>
      <c r="H10" s="2" t="s">
        <v>443</v>
      </c>
      <c r="I10" s="2" t="s">
        <v>444</v>
      </c>
    </row>
    <row r="11" spans="2:9" s="1" customFormat="1" ht="18" customHeight="1" x14ac:dyDescent="0.3">
      <c r="B11" s="2" t="s">
        <v>433</v>
      </c>
      <c r="C11" s="2" t="s">
        <v>52</v>
      </c>
      <c r="D11" s="2" t="s">
        <v>92</v>
      </c>
      <c r="E11" s="2" t="s">
        <v>445</v>
      </c>
      <c r="F11" s="2" t="s">
        <v>446</v>
      </c>
      <c r="G11" s="2" t="s">
        <v>105</v>
      </c>
      <c r="H11" s="2" t="s">
        <v>447</v>
      </c>
      <c r="I11" s="2" t="s">
        <v>448</v>
      </c>
    </row>
    <row r="12" spans="2:9" s="1" customFormat="1" ht="18" customHeight="1" x14ac:dyDescent="0.3">
      <c r="B12" s="2"/>
      <c r="C12" s="2"/>
      <c r="D12" s="2"/>
      <c r="E12" s="2"/>
      <c r="F12" s="2"/>
      <c r="G12" s="2"/>
      <c r="H12" s="2"/>
      <c r="I12" s="2"/>
    </row>
    <row r="13" spans="2:9" s="1" customFormat="1" ht="18" customHeight="1" x14ac:dyDescent="0.3">
      <c r="B13" s="2"/>
      <c r="C13" s="2"/>
      <c r="D13" s="2"/>
      <c r="E13" s="2"/>
      <c r="F13" s="2"/>
      <c r="G13" s="2"/>
      <c r="H13" s="2"/>
      <c r="I13" s="2"/>
    </row>
    <row r="14" spans="2:9" s="1" customFormat="1" ht="18" customHeight="1" x14ac:dyDescent="0.3">
      <c r="B14" s="2"/>
      <c r="C14" s="2"/>
      <c r="D14" s="2"/>
      <c r="E14" s="2"/>
      <c r="F14" s="2"/>
      <c r="G14" s="2"/>
      <c r="H14" s="2"/>
      <c r="I14" s="2"/>
    </row>
    <row r="15" spans="2:9" s="1" customFormat="1" ht="18" customHeight="1" x14ac:dyDescent="0.3">
      <c r="B15" s="2"/>
      <c r="C15" s="2"/>
      <c r="D15" s="2"/>
      <c r="E15" s="2"/>
      <c r="F15" s="2"/>
      <c r="G15" s="2"/>
      <c r="H15" s="2"/>
      <c r="I15" s="2"/>
    </row>
    <row r="17" spans="2:9" s="1" customFormat="1" ht="21.75" customHeight="1" x14ac:dyDescent="0.3">
      <c r="B17" s="23" t="s">
        <v>130</v>
      </c>
      <c r="C17" s="25"/>
      <c r="D17" s="25"/>
      <c r="E17" s="25"/>
      <c r="F17" s="25"/>
      <c r="G17" s="25"/>
      <c r="H17" s="25"/>
      <c r="I17" s="18"/>
    </row>
    <row r="18" spans="2:9" s="1" customFormat="1" ht="13.5" customHeight="1" x14ac:dyDescent="0.3">
      <c r="B18" s="31" t="s">
        <v>31</v>
      </c>
      <c r="C18" s="30"/>
      <c r="D18" s="30"/>
      <c r="E18" s="30"/>
      <c r="F18" s="30"/>
      <c r="G18" s="30"/>
      <c r="H18" s="30"/>
      <c r="I18" s="30"/>
    </row>
    <row r="19" spans="2:9" s="1" customFormat="1" ht="19.5" customHeight="1" x14ac:dyDescent="0.3">
      <c r="B19" s="11" t="s">
        <v>131</v>
      </c>
      <c r="C19" s="11" t="s">
        <v>84</v>
      </c>
      <c r="D19" s="32" t="s">
        <v>132</v>
      </c>
      <c r="E19" s="25"/>
      <c r="F19" s="18"/>
      <c r="G19" s="32" t="s">
        <v>133</v>
      </c>
      <c r="H19" s="18"/>
      <c r="I19" s="11" t="s">
        <v>51</v>
      </c>
    </row>
    <row r="20" spans="2:9" s="1" customFormat="1" ht="15.75" customHeight="1" x14ac:dyDescent="0.3">
      <c r="B20" s="33" t="s">
        <v>134</v>
      </c>
      <c r="C20" s="25"/>
      <c r="D20" s="25"/>
      <c r="E20" s="25"/>
      <c r="F20" s="25"/>
      <c r="G20" s="25"/>
      <c r="H20" s="25"/>
      <c r="I20" s="18"/>
    </row>
    <row r="21" spans="2:9" s="1" customFormat="1" ht="18" customHeight="1" x14ac:dyDescent="0.3">
      <c r="B21" s="2"/>
      <c r="C21" s="2" t="s">
        <v>52</v>
      </c>
      <c r="D21" s="2"/>
      <c r="E21" s="2" t="s">
        <v>449</v>
      </c>
      <c r="F21" s="2"/>
      <c r="G21" s="2"/>
      <c r="H21" s="2"/>
      <c r="I21" s="2"/>
    </row>
    <row r="22" spans="2:9" s="1" customFormat="1" ht="18" customHeight="1" x14ac:dyDescent="0.3">
      <c r="B22" s="2"/>
      <c r="C22" s="2"/>
      <c r="D22" s="2"/>
      <c r="E22" s="2"/>
      <c r="F22" s="2"/>
      <c r="G22" s="2"/>
      <c r="H22" s="2"/>
      <c r="I22" s="2"/>
    </row>
    <row r="23" spans="2:9" s="1" customFormat="1" ht="18" customHeight="1" x14ac:dyDescent="0.3">
      <c r="B23" s="2"/>
      <c r="C23" s="2"/>
      <c r="D23" s="2"/>
      <c r="E23" s="2"/>
      <c r="F23" s="2"/>
      <c r="G23" s="2"/>
      <c r="H23" s="2"/>
      <c r="I23" s="2"/>
    </row>
    <row r="24" spans="2:9" s="1" customFormat="1" ht="15.75" customHeight="1" x14ac:dyDescent="0.3">
      <c r="B24" s="33" t="s">
        <v>144</v>
      </c>
      <c r="C24" s="25"/>
      <c r="D24" s="25"/>
      <c r="E24" s="25"/>
      <c r="F24" s="25"/>
      <c r="G24" s="25"/>
      <c r="H24" s="25"/>
      <c r="I24" s="18"/>
    </row>
    <row r="25" spans="2:9" s="1" customFormat="1" ht="18" customHeight="1" x14ac:dyDescent="0.3">
      <c r="B25" s="2"/>
      <c r="C25" s="2" t="s">
        <v>52</v>
      </c>
      <c r="D25" s="2"/>
      <c r="E25" s="2" t="s">
        <v>450</v>
      </c>
      <c r="F25" s="2"/>
      <c r="G25" s="2"/>
      <c r="H25" s="2"/>
      <c r="I25" s="2"/>
    </row>
    <row r="26" spans="2:9" s="1" customFormat="1" ht="18" customHeight="1" x14ac:dyDescent="0.3">
      <c r="B26" s="2"/>
      <c r="C26" s="2"/>
      <c r="D26" s="2"/>
      <c r="E26" s="2"/>
      <c r="F26" s="2"/>
      <c r="G26" s="2"/>
      <c r="H26" s="2"/>
      <c r="I26" s="2"/>
    </row>
    <row r="27" spans="2:9" s="1" customFormat="1" ht="18" customHeight="1" x14ac:dyDescent="0.3">
      <c r="B27" s="2"/>
      <c r="C27" s="2"/>
      <c r="D27" s="2"/>
      <c r="E27" s="2"/>
      <c r="F27" s="2"/>
      <c r="G27" s="2"/>
      <c r="H27" s="2"/>
      <c r="I27" s="2"/>
    </row>
    <row r="28" spans="2:9" s="1" customFormat="1" ht="15.75" customHeight="1" x14ac:dyDescent="0.3">
      <c r="B28" s="33" t="s">
        <v>154</v>
      </c>
      <c r="C28" s="25"/>
      <c r="D28" s="25"/>
      <c r="E28" s="25"/>
      <c r="F28" s="25"/>
      <c r="G28" s="25"/>
      <c r="H28" s="25"/>
      <c r="I28" s="18"/>
    </row>
    <row r="29" spans="2:9" s="1" customFormat="1" ht="18" customHeight="1" x14ac:dyDescent="0.3">
      <c r="B29" s="2"/>
      <c r="C29" s="2" t="s">
        <v>52</v>
      </c>
      <c r="D29" s="2"/>
      <c r="E29" s="2" t="s">
        <v>451</v>
      </c>
      <c r="F29" s="2"/>
      <c r="G29" s="2"/>
      <c r="H29" s="2"/>
      <c r="I29" s="2"/>
    </row>
    <row r="30" spans="2:9" s="1" customFormat="1" ht="18" customHeight="1" x14ac:dyDescent="0.3">
      <c r="B30" s="2"/>
      <c r="C30" s="2"/>
      <c r="D30" s="2"/>
      <c r="E30" s="2"/>
      <c r="F30" s="2"/>
      <c r="G30" s="2"/>
      <c r="H30" s="2"/>
      <c r="I30" s="2"/>
    </row>
    <row r="31" spans="2:9" s="1" customFormat="1" ht="18" customHeight="1" x14ac:dyDescent="0.3">
      <c r="B31" s="2"/>
      <c r="C31" s="2"/>
      <c r="D31" s="2"/>
      <c r="E31" s="2"/>
      <c r="F31" s="2"/>
      <c r="G31" s="2"/>
      <c r="H31" s="2"/>
      <c r="I31" s="2"/>
    </row>
    <row r="32" spans="2:9" s="1" customFormat="1" ht="15.75" customHeight="1" x14ac:dyDescent="0.3">
      <c r="B32" s="33" t="s">
        <v>156</v>
      </c>
      <c r="C32" s="25"/>
      <c r="D32" s="25"/>
      <c r="E32" s="25"/>
      <c r="F32" s="25"/>
      <c r="G32" s="25"/>
      <c r="H32" s="25"/>
      <c r="I32" s="18"/>
    </row>
    <row r="33" spans="2:9" s="1" customFormat="1" ht="18" customHeight="1" x14ac:dyDescent="0.3">
      <c r="B33" s="2"/>
      <c r="C33" s="2"/>
      <c r="D33" s="2"/>
      <c r="E33" s="2"/>
      <c r="F33" s="2"/>
      <c r="G33" s="2"/>
      <c r="H33" s="2"/>
      <c r="I33" s="2"/>
    </row>
    <row r="34" spans="2:9" s="1" customFormat="1" ht="18" customHeight="1" x14ac:dyDescent="0.3">
      <c r="B34" s="2"/>
      <c r="C34" s="2"/>
      <c r="D34" s="2"/>
      <c r="E34" s="2"/>
      <c r="F34" s="2"/>
      <c r="G34" s="2"/>
      <c r="H34" s="2"/>
      <c r="I34" s="2"/>
    </row>
    <row r="35" spans="2:9" s="1" customFormat="1" ht="18" customHeight="1" x14ac:dyDescent="0.3">
      <c r="B35" s="2"/>
      <c r="C35" s="2"/>
      <c r="D35" s="2"/>
      <c r="E35" s="2"/>
      <c r="F35" s="2"/>
      <c r="G35" s="2"/>
      <c r="H35" s="2"/>
      <c r="I35" s="2"/>
    </row>
    <row r="37" spans="2:9" s="1" customFormat="1" ht="21.75" customHeight="1" x14ac:dyDescent="0.3">
      <c r="B37" s="22" t="s">
        <v>157</v>
      </c>
      <c r="C37" s="25"/>
      <c r="D37" s="25"/>
      <c r="E37" s="25"/>
      <c r="F37" s="25"/>
      <c r="G37" s="25"/>
      <c r="H37" s="25"/>
      <c r="I37" s="18"/>
    </row>
    <row r="38" spans="2:9" s="1" customFormat="1" ht="13.5" customHeight="1" x14ac:dyDescent="0.3">
      <c r="B38" s="31" t="s">
        <v>158</v>
      </c>
      <c r="C38" s="30"/>
      <c r="D38" s="30"/>
      <c r="E38" s="30"/>
      <c r="F38" s="30"/>
      <c r="G38" s="30"/>
      <c r="H38" s="30"/>
      <c r="I38" s="30"/>
    </row>
    <row r="39" spans="2:9" s="1" customFormat="1" ht="19.5" customHeight="1" x14ac:dyDescent="0.3">
      <c r="B39" s="12" t="s">
        <v>159</v>
      </c>
      <c r="C39" s="12" t="s">
        <v>160</v>
      </c>
      <c r="D39" s="12" t="s">
        <v>161</v>
      </c>
      <c r="E39" s="34" t="s">
        <v>162</v>
      </c>
      <c r="F39" s="25"/>
      <c r="G39" s="25"/>
      <c r="H39" s="25"/>
      <c r="I39" s="18"/>
    </row>
    <row r="40" spans="2:9" s="1" customFormat="1" ht="21.75" customHeight="1" x14ac:dyDescent="0.3">
      <c r="B40" s="35" t="s">
        <v>163</v>
      </c>
      <c r="C40" s="25"/>
      <c r="D40" s="18"/>
      <c r="E40" s="36" t="s">
        <v>452</v>
      </c>
      <c r="F40" s="25"/>
      <c r="G40" s="25"/>
      <c r="H40" s="25"/>
      <c r="I40" s="18"/>
    </row>
    <row r="41" spans="2:9" s="1" customFormat="1" ht="21.75" customHeight="1" x14ac:dyDescent="0.3">
      <c r="B41" s="37" t="s">
        <v>165</v>
      </c>
      <c r="C41" s="25"/>
      <c r="D41" s="18"/>
      <c r="E41" s="36" t="s">
        <v>453</v>
      </c>
      <c r="F41" s="25"/>
      <c r="G41" s="25"/>
      <c r="H41" s="25"/>
      <c r="I41" s="18"/>
    </row>
    <row r="42" spans="2:9" s="1" customFormat="1" ht="21.75" customHeight="1" x14ac:dyDescent="0.3">
      <c r="B42" s="37" t="s">
        <v>167</v>
      </c>
      <c r="C42" s="25"/>
      <c r="D42" s="18"/>
      <c r="E42" s="36" t="s">
        <v>454</v>
      </c>
      <c r="F42" s="25"/>
      <c r="G42" s="25"/>
      <c r="H42" s="25"/>
      <c r="I42" s="18"/>
    </row>
    <row r="43" spans="2:9" s="1" customFormat="1" ht="21.75" customHeight="1" x14ac:dyDescent="0.3">
      <c r="B43" s="37" t="s">
        <v>169</v>
      </c>
      <c r="C43" s="25"/>
      <c r="D43" s="18"/>
      <c r="E43" s="36" t="s">
        <v>455</v>
      </c>
      <c r="F43" s="25"/>
      <c r="G43" s="25"/>
      <c r="H43" s="25"/>
      <c r="I43" s="18"/>
    </row>
    <row r="44" spans="2:9" s="1" customFormat="1" ht="21.75" customHeight="1" x14ac:dyDescent="0.3">
      <c r="B44" s="35" t="s">
        <v>382</v>
      </c>
      <c r="C44" s="25"/>
      <c r="D44" s="18"/>
      <c r="E44" s="36"/>
      <c r="F44" s="25"/>
      <c r="G44" s="25"/>
      <c r="H44" s="25"/>
      <c r="I44" s="18"/>
    </row>
    <row r="45" spans="2:9" s="1" customFormat="1" ht="21.75" customHeight="1" x14ac:dyDescent="0.3">
      <c r="B45" s="37" t="s">
        <v>165</v>
      </c>
      <c r="C45" s="25"/>
      <c r="D45" s="18"/>
      <c r="E45" s="36"/>
      <c r="F45" s="25"/>
      <c r="G45" s="25"/>
      <c r="H45" s="25"/>
      <c r="I45" s="18"/>
    </row>
    <row r="46" spans="2:9" s="1" customFormat="1" ht="21.75" customHeight="1" x14ac:dyDescent="0.3">
      <c r="B46" s="37" t="s">
        <v>167</v>
      </c>
      <c r="C46" s="25"/>
      <c r="D46" s="18"/>
      <c r="E46" s="36"/>
      <c r="F46" s="25"/>
      <c r="G46" s="25"/>
      <c r="H46" s="25"/>
      <c r="I46" s="18"/>
    </row>
    <row r="47" spans="2:9" s="1" customFormat="1" ht="21.75" customHeight="1" x14ac:dyDescent="0.3">
      <c r="B47" s="37" t="s">
        <v>169</v>
      </c>
      <c r="C47" s="25"/>
      <c r="D47" s="18"/>
      <c r="E47" s="36"/>
      <c r="F47" s="25"/>
      <c r="G47" s="25"/>
      <c r="H47" s="25"/>
      <c r="I47" s="18"/>
    </row>
    <row r="48" spans="2:9" s="1" customFormat="1" ht="21.75" customHeight="1" x14ac:dyDescent="0.3">
      <c r="B48" s="35" t="s">
        <v>383</v>
      </c>
      <c r="C48" s="25"/>
      <c r="D48" s="18"/>
      <c r="E48" s="36"/>
      <c r="F48" s="25"/>
      <c r="G48" s="25"/>
      <c r="H48" s="25"/>
      <c r="I48" s="18"/>
    </row>
    <row r="49" spans="2:9" s="1" customFormat="1" ht="21.75" customHeight="1" x14ac:dyDescent="0.3">
      <c r="B49" s="37" t="s">
        <v>165</v>
      </c>
      <c r="C49" s="25"/>
      <c r="D49" s="18"/>
      <c r="E49" s="36"/>
      <c r="F49" s="25"/>
      <c r="G49" s="25"/>
      <c r="H49" s="25"/>
      <c r="I49" s="18"/>
    </row>
    <row r="50" spans="2:9" s="1" customFormat="1" ht="21.75" customHeight="1" x14ac:dyDescent="0.3">
      <c r="B50" s="37" t="s">
        <v>167</v>
      </c>
      <c r="C50" s="25"/>
      <c r="D50" s="18"/>
      <c r="E50" s="36"/>
      <c r="F50" s="25"/>
      <c r="G50" s="25"/>
      <c r="H50" s="25"/>
      <c r="I50" s="18"/>
    </row>
    <row r="51" spans="2:9" s="1" customFormat="1" ht="21.75" customHeight="1" x14ac:dyDescent="0.3">
      <c r="B51" s="37" t="s">
        <v>169</v>
      </c>
      <c r="C51" s="25"/>
      <c r="D51" s="18"/>
      <c r="E51" s="36"/>
      <c r="F51" s="25"/>
      <c r="G51" s="25"/>
      <c r="H51" s="25"/>
      <c r="I51" s="18"/>
    </row>
    <row r="52" spans="2:9" s="1" customFormat="1" ht="21.75" customHeight="1" x14ac:dyDescent="0.3">
      <c r="B52" s="35" t="s">
        <v>181</v>
      </c>
      <c r="C52" s="25"/>
      <c r="D52" s="18"/>
      <c r="E52" s="36"/>
      <c r="F52" s="25"/>
      <c r="G52" s="25"/>
      <c r="H52" s="25"/>
      <c r="I52" s="18"/>
    </row>
    <row r="53" spans="2:9" s="1" customFormat="1" ht="21.75" customHeight="1" x14ac:dyDescent="0.3">
      <c r="B53" s="37" t="s">
        <v>165</v>
      </c>
      <c r="C53" s="25"/>
      <c r="D53" s="18"/>
      <c r="E53" s="36"/>
      <c r="F53" s="25"/>
      <c r="G53" s="25"/>
      <c r="H53" s="25"/>
      <c r="I53" s="18"/>
    </row>
    <row r="54" spans="2:9" s="1" customFormat="1" ht="21.75" customHeight="1" x14ac:dyDescent="0.3">
      <c r="B54" s="37" t="s">
        <v>167</v>
      </c>
      <c r="C54" s="25"/>
      <c r="D54" s="18"/>
      <c r="E54" s="36"/>
      <c r="F54" s="25"/>
      <c r="G54" s="25"/>
      <c r="H54" s="25"/>
      <c r="I54" s="18"/>
    </row>
    <row r="55" spans="2:9" s="1" customFormat="1" ht="21.75" customHeight="1" x14ac:dyDescent="0.3">
      <c r="B55" s="37" t="s">
        <v>169</v>
      </c>
      <c r="C55" s="25"/>
      <c r="D55" s="18"/>
      <c r="E55" s="36"/>
      <c r="F55" s="25"/>
      <c r="G55" s="25"/>
      <c r="H55" s="25"/>
      <c r="I55" s="18"/>
    </row>
    <row r="56" spans="2:9" x14ac:dyDescent="0.3">
      <c r="E56" s="36"/>
      <c r="F56" s="25"/>
      <c r="G56" s="25"/>
      <c r="H56" s="25"/>
      <c r="I56" s="18"/>
    </row>
    <row r="57" spans="2:9" s="1" customFormat="1" ht="21.75" customHeight="1" x14ac:dyDescent="0.3">
      <c r="B57" s="40" t="s">
        <v>182</v>
      </c>
      <c r="C57" s="25"/>
      <c r="D57" s="25"/>
      <c r="E57" s="25"/>
      <c r="F57" s="25"/>
      <c r="G57" s="25"/>
      <c r="H57" s="25"/>
      <c r="I57" s="18"/>
    </row>
    <row r="58" spans="2:9" s="1" customFormat="1" ht="13.5" customHeight="1" x14ac:dyDescent="0.3">
      <c r="B58" s="31" t="s">
        <v>183</v>
      </c>
      <c r="C58" s="30"/>
      <c r="D58" s="30"/>
      <c r="E58" s="30"/>
      <c r="F58" s="30"/>
      <c r="G58" s="30"/>
      <c r="H58" s="30"/>
      <c r="I58" s="30"/>
    </row>
    <row r="59" spans="2:9" s="1" customFormat="1" ht="18" customHeight="1" x14ac:dyDescent="0.3">
      <c r="B59" s="41" t="s">
        <v>184</v>
      </c>
      <c r="C59" s="25"/>
      <c r="D59" s="25"/>
      <c r="E59" s="25"/>
      <c r="F59" s="25"/>
      <c r="G59" s="25"/>
      <c r="H59" s="25"/>
      <c r="I59" s="18"/>
    </row>
    <row r="60" spans="2:9" s="1" customFormat="1" ht="18" customHeight="1" x14ac:dyDescent="0.3">
      <c r="B60" s="42" t="s">
        <v>185</v>
      </c>
      <c r="C60" s="25"/>
      <c r="D60" s="18"/>
      <c r="E60" s="43" t="s">
        <v>456</v>
      </c>
      <c r="F60" s="30"/>
      <c r="G60" s="30"/>
      <c r="H60" s="30"/>
      <c r="I60" s="30"/>
    </row>
    <row r="61" spans="2:9" s="1" customFormat="1" ht="18" customHeight="1" x14ac:dyDescent="0.3">
      <c r="B61" s="42" t="s">
        <v>187</v>
      </c>
      <c r="C61" s="25"/>
      <c r="D61" s="18"/>
      <c r="E61" s="43" t="s">
        <v>457</v>
      </c>
      <c r="F61" s="30"/>
      <c r="G61" s="30"/>
      <c r="H61" s="30"/>
      <c r="I61" s="30"/>
    </row>
    <row r="62" spans="2:9" s="1" customFormat="1" ht="18" customHeight="1" x14ac:dyDescent="0.3">
      <c r="B62" s="42" t="s">
        <v>189</v>
      </c>
      <c r="C62" s="25"/>
      <c r="D62" s="18"/>
      <c r="E62" s="43" t="s">
        <v>458</v>
      </c>
      <c r="F62" s="30"/>
      <c r="G62" s="30"/>
      <c r="H62" s="30"/>
      <c r="I62" s="30"/>
    </row>
    <row r="63" spans="2:9" s="1" customFormat="1" ht="18" customHeight="1" x14ac:dyDescent="0.3">
      <c r="B63" s="42" t="s">
        <v>191</v>
      </c>
      <c r="C63" s="25"/>
      <c r="D63" s="18"/>
      <c r="E63" s="43" t="s">
        <v>459</v>
      </c>
      <c r="F63" s="30"/>
      <c r="G63" s="30"/>
      <c r="H63" s="30"/>
      <c r="I63" s="30"/>
    </row>
    <row r="64" spans="2:9" s="1" customFormat="1" ht="18" customHeight="1" x14ac:dyDescent="0.3">
      <c r="B64" s="42" t="s">
        <v>193</v>
      </c>
      <c r="C64" s="25"/>
      <c r="D64" s="18"/>
      <c r="E64" s="43" t="s">
        <v>460</v>
      </c>
      <c r="F64" s="30"/>
      <c r="G64" s="30"/>
      <c r="H64" s="30"/>
      <c r="I64" s="30"/>
    </row>
    <row r="66" spans="2:9" s="1" customFormat="1" ht="18" customHeight="1" x14ac:dyDescent="0.3">
      <c r="B66" s="41" t="s">
        <v>195</v>
      </c>
      <c r="C66" s="25"/>
      <c r="D66" s="25"/>
      <c r="E66" s="25"/>
      <c r="F66" s="25"/>
      <c r="G66" s="25"/>
      <c r="H66" s="25"/>
      <c r="I66" s="18"/>
    </row>
    <row r="67" spans="2:9" s="1" customFormat="1" ht="18" customHeight="1" x14ac:dyDescent="0.3">
      <c r="B67" s="42" t="s">
        <v>185</v>
      </c>
      <c r="C67" s="25"/>
      <c r="D67" s="18"/>
      <c r="E67" s="43" t="s">
        <v>208</v>
      </c>
      <c r="F67" s="30"/>
      <c r="G67" s="30"/>
      <c r="H67" s="30"/>
      <c r="I67" s="30"/>
    </row>
    <row r="68" spans="2:9" s="1" customFormat="1" ht="18" customHeight="1" x14ac:dyDescent="0.3">
      <c r="B68" s="42" t="s">
        <v>187</v>
      </c>
      <c r="C68" s="25"/>
      <c r="D68" s="18"/>
      <c r="E68" s="43" t="s">
        <v>209</v>
      </c>
      <c r="F68" s="30"/>
      <c r="G68" s="30"/>
      <c r="H68" s="30"/>
      <c r="I68" s="30"/>
    </row>
    <row r="69" spans="2:9" s="1" customFormat="1" ht="18" customHeight="1" x14ac:dyDescent="0.3">
      <c r="B69" s="42" t="s">
        <v>189</v>
      </c>
      <c r="C69" s="25"/>
      <c r="D69" s="18"/>
      <c r="E69" s="43" t="s">
        <v>210</v>
      </c>
      <c r="F69" s="30"/>
      <c r="G69" s="30"/>
      <c r="H69" s="30"/>
      <c r="I69" s="30"/>
    </row>
    <row r="70" spans="2:9" s="1" customFormat="1" ht="18" customHeight="1" x14ac:dyDescent="0.3">
      <c r="B70" s="42" t="s">
        <v>191</v>
      </c>
      <c r="C70" s="25"/>
      <c r="D70" s="18"/>
      <c r="E70" s="43" t="s">
        <v>211</v>
      </c>
      <c r="F70" s="30"/>
      <c r="G70" s="30"/>
      <c r="H70" s="30"/>
      <c r="I70" s="30"/>
    </row>
    <row r="71" spans="2:9" s="1" customFormat="1" ht="18" customHeight="1" x14ac:dyDescent="0.3">
      <c r="B71" s="42" t="s">
        <v>193</v>
      </c>
      <c r="C71" s="25"/>
      <c r="D71" s="18"/>
      <c r="E71" s="43" t="s">
        <v>212</v>
      </c>
      <c r="F71" s="30"/>
      <c r="G71" s="30"/>
      <c r="H71" s="30"/>
      <c r="I71" s="30"/>
    </row>
    <row r="73" spans="2:9" s="1" customFormat="1" ht="18" customHeight="1" x14ac:dyDescent="0.3">
      <c r="B73" s="41" t="s">
        <v>201</v>
      </c>
      <c r="C73" s="25"/>
      <c r="D73" s="25"/>
      <c r="E73" s="25"/>
      <c r="F73" s="25"/>
      <c r="G73" s="25"/>
      <c r="H73" s="25"/>
      <c r="I73" s="18"/>
    </row>
    <row r="74" spans="2:9" s="1" customFormat="1" ht="18" customHeight="1" x14ac:dyDescent="0.3">
      <c r="B74" s="42" t="s">
        <v>185</v>
      </c>
      <c r="C74" s="25"/>
      <c r="D74" s="18"/>
      <c r="E74" s="37" t="s">
        <v>208</v>
      </c>
      <c r="F74" s="25"/>
      <c r="G74" s="25"/>
      <c r="H74" s="25"/>
      <c r="I74" s="18"/>
    </row>
    <row r="75" spans="2:9" s="1" customFormat="1" ht="18" customHeight="1" x14ac:dyDescent="0.3">
      <c r="B75" s="42" t="s">
        <v>187</v>
      </c>
      <c r="C75" s="25"/>
      <c r="D75" s="18"/>
      <c r="E75" s="37" t="s">
        <v>209</v>
      </c>
      <c r="F75" s="25"/>
      <c r="G75" s="25"/>
      <c r="H75" s="25"/>
      <c r="I75" s="18"/>
    </row>
    <row r="76" spans="2:9" s="1" customFormat="1" ht="18" customHeight="1" x14ac:dyDescent="0.3">
      <c r="B76" s="42" t="s">
        <v>189</v>
      </c>
      <c r="C76" s="25"/>
      <c r="D76" s="18"/>
      <c r="E76" s="37" t="s">
        <v>210</v>
      </c>
      <c r="F76" s="25"/>
      <c r="G76" s="25"/>
      <c r="H76" s="25"/>
      <c r="I76" s="18"/>
    </row>
    <row r="77" spans="2:9" s="1" customFormat="1" ht="18" customHeight="1" x14ac:dyDescent="0.3">
      <c r="B77" s="42" t="s">
        <v>191</v>
      </c>
      <c r="C77" s="25"/>
      <c r="D77" s="18"/>
      <c r="E77" s="37" t="s">
        <v>211</v>
      </c>
      <c r="F77" s="25"/>
      <c r="G77" s="25"/>
      <c r="H77" s="25"/>
      <c r="I77" s="18"/>
    </row>
    <row r="78" spans="2:9" s="1" customFormat="1" ht="18" customHeight="1" x14ac:dyDescent="0.3">
      <c r="B78" s="42" t="s">
        <v>193</v>
      </c>
      <c r="C78" s="25"/>
      <c r="D78" s="18"/>
      <c r="E78" s="37" t="s">
        <v>212</v>
      </c>
      <c r="F78" s="25"/>
      <c r="G78" s="25"/>
      <c r="H78" s="25"/>
      <c r="I78" s="18"/>
    </row>
    <row r="80" spans="2:9" s="1" customFormat="1" ht="18" customHeight="1" x14ac:dyDescent="0.3">
      <c r="B80" s="41" t="s">
        <v>207</v>
      </c>
      <c r="C80" s="25"/>
      <c r="D80" s="25"/>
      <c r="E80" s="25"/>
      <c r="F80" s="25"/>
      <c r="G80" s="25"/>
      <c r="H80" s="25"/>
      <c r="I80" s="18"/>
    </row>
    <row r="81" spans="2:9" s="1" customFormat="1" ht="18" customHeight="1" x14ac:dyDescent="0.3">
      <c r="B81" s="42" t="s">
        <v>185</v>
      </c>
      <c r="C81" s="25"/>
      <c r="D81" s="18"/>
      <c r="E81" s="37" t="s">
        <v>208</v>
      </c>
      <c r="F81" s="25"/>
      <c r="G81" s="25"/>
      <c r="H81" s="25"/>
      <c r="I81" s="18"/>
    </row>
    <row r="82" spans="2:9" s="1" customFormat="1" ht="18" customHeight="1" x14ac:dyDescent="0.3">
      <c r="B82" s="42" t="s">
        <v>187</v>
      </c>
      <c r="C82" s="25"/>
      <c r="D82" s="18"/>
      <c r="E82" s="37" t="s">
        <v>209</v>
      </c>
      <c r="F82" s="25"/>
      <c r="G82" s="25"/>
      <c r="H82" s="25"/>
      <c r="I82" s="18"/>
    </row>
    <row r="83" spans="2:9" s="1" customFormat="1" ht="18" customHeight="1" x14ac:dyDescent="0.3">
      <c r="B83" s="42" t="s">
        <v>189</v>
      </c>
      <c r="C83" s="25"/>
      <c r="D83" s="18"/>
      <c r="E83" s="37" t="s">
        <v>210</v>
      </c>
      <c r="F83" s="25"/>
      <c r="G83" s="25"/>
      <c r="H83" s="25"/>
      <c r="I83" s="18"/>
    </row>
    <row r="84" spans="2:9" s="1" customFormat="1" ht="18" customHeight="1" x14ac:dyDescent="0.3">
      <c r="B84" s="42" t="s">
        <v>191</v>
      </c>
      <c r="C84" s="25"/>
      <c r="D84" s="18"/>
      <c r="E84" s="37" t="s">
        <v>211</v>
      </c>
      <c r="F84" s="25"/>
      <c r="G84" s="25"/>
      <c r="H84" s="25"/>
      <c r="I84" s="18"/>
    </row>
    <row r="85" spans="2:9" s="1" customFormat="1" ht="18" customHeight="1" x14ac:dyDescent="0.3">
      <c r="B85" s="42" t="s">
        <v>193</v>
      </c>
      <c r="C85" s="25"/>
      <c r="D85" s="18"/>
      <c r="E85" s="37" t="s">
        <v>212</v>
      </c>
      <c r="F85" s="25"/>
      <c r="G85" s="25"/>
      <c r="H85" s="25"/>
      <c r="I85" s="18"/>
    </row>
    <row r="87" spans="2:9" s="1" customFormat="1" ht="18" customHeight="1" x14ac:dyDescent="0.3">
      <c r="B87" s="41" t="s">
        <v>213</v>
      </c>
      <c r="C87" s="25"/>
      <c r="D87" s="25"/>
      <c r="E87" s="25"/>
      <c r="F87" s="25"/>
      <c r="G87" s="25"/>
      <c r="H87" s="25"/>
      <c r="I87" s="18"/>
    </row>
    <row r="88" spans="2:9" s="1" customFormat="1" ht="18" customHeight="1" x14ac:dyDescent="0.3">
      <c r="B88" s="42" t="s">
        <v>185</v>
      </c>
      <c r="C88" s="25"/>
      <c r="D88" s="18"/>
      <c r="E88" s="37" t="s">
        <v>208</v>
      </c>
      <c r="F88" s="25"/>
      <c r="G88" s="25"/>
      <c r="H88" s="25"/>
      <c r="I88" s="18"/>
    </row>
    <row r="89" spans="2:9" s="1" customFormat="1" ht="18" customHeight="1" x14ac:dyDescent="0.3">
      <c r="B89" s="42" t="s">
        <v>187</v>
      </c>
      <c r="C89" s="25"/>
      <c r="D89" s="18"/>
      <c r="E89" s="37" t="s">
        <v>209</v>
      </c>
      <c r="F89" s="25"/>
      <c r="G89" s="25"/>
      <c r="H89" s="25"/>
      <c r="I89" s="18"/>
    </row>
    <row r="90" spans="2:9" s="1" customFormat="1" ht="18" customHeight="1" x14ac:dyDescent="0.3">
      <c r="B90" s="42" t="s">
        <v>189</v>
      </c>
      <c r="C90" s="25"/>
      <c r="D90" s="18"/>
      <c r="E90" s="37" t="s">
        <v>210</v>
      </c>
      <c r="F90" s="25"/>
      <c r="G90" s="25"/>
      <c r="H90" s="25"/>
      <c r="I90" s="18"/>
    </row>
    <row r="91" spans="2:9" s="1" customFormat="1" ht="18" customHeight="1" x14ac:dyDescent="0.3">
      <c r="B91" s="42" t="s">
        <v>191</v>
      </c>
      <c r="C91" s="25"/>
      <c r="D91" s="18"/>
      <c r="E91" s="37" t="s">
        <v>211</v>
      </c>
      <c r="F91" s="25"/>
      <c r="G91" s="25"/>
      <c r="H91" s="25"/>
      <c r="I91" s="18"/>
    </row>
    <row r="92" spans="2:9" s="1" customFormat="1" ht="18" customHeight="1" x14ac:dyDescent="0.3">
      <c r="B92" s="42" t="s">
        <v>193</v>
      </c>
      <c r="C92" s="25"/>
      <c r="D92" s="18"/>
      <c r="E92" s="37" t="s">
        <v>212</v>
      </c>
      <c r="F92" s="25"/>
      <c r="G92" s="25"/>
      <c r="H92" s="25"/>
      <c r="I92" s="18"/>
    </row>
    <row r="94" spans="2:9" s="1" customFormat="1" ht="15.75" customHeight="1" x14ac:dyDescent="0.3">
      <c r="B94" s="45" t="s">
        <v>461</v>
      </c>
      <c r="C94" s="25"/>
      <c r="D94" s="25"/>
      <c r="E94" s="25"/>
      <c r="F94" s="25"/>
      <c r="G94" s="25"/>
      <c r="H94" s="25"/>
      <c r="I94" s="18"/>
    </row>
  </sheetData>
  <mergeCells count="106">
    <mergeCell ref="B92:D92"/>
    <mergeCell ref="E92:I92"/>
    <mergeCell ref="B94:I94"/>
    <mergeCell ref="B87:I87"/>
    <mergeCell ref="B88:D88"/>
    <mergeCell ref="E88:I88"/>
    <mergeCell ref="B89:D89"/>
    <mergeCell ref="E89:I89"/>
    <mergeCell ref="B90:D90"/>
    <mergeCell ref="E90:I90"/>
    <mergeCell ref="B91:D91"/>
    <mergeCell ref="E91:I91"/>
    <mergeCell ref="B81:D81"/>
    <mergeCell ref="E81:I81"/>
    <mergeCell ref="B82:D82"/>
    <mergeCell ref="E82:I82"/>
    <mergeCell ref="B83:D83"/>
    <mergeCell ref="E83:I83"/>
    <mergeCell ref="B84:D84"/>
    <mergeCell ref="E84:I84"/>
    <mergeCell ref="B85:D85"/>
    <mergeCell ref="E85:I85"/>
    <mergeCell ref="B75:D75"/>
    <mergeCell ref="E75:I75"/>
    <mergeCell ref="B76:D76"/>
    <mergeCell ref="E76:I76"/>
    <mergeCell ref="B77:D77"/>
    <mergeCell ref="E77:I77"/>
    <mergeCell ref="B78:D78"/>
    <mergeCell ref="E78:I78"/>
    <mergeCell ref="B80:I80"/>
    <mergeCell ref="B69:D69"/>
    <mergeCell ref="E69:I69"/>
    <mergeCell ref="B70:D70"/>
    <mergeCell ref="E70:I70"/>
    <mergeCell ref="B71:D71"/>
    <mergeCell ref="E71:I71"/>
    <mergeCell ref="B73:I73"/>
    <mergeCell ref="B74:D74"/>
    <mergeCell ref="E74:I74"/>
    <mergeCell ref="B63:D63"/>
    <mergeCell ref="E63:I63"/>
    <mergeCell ref="B64:D64"/>
    <mergeCell ref="E64:I64"/>
    <mergeCell ref="B66:I66"/>
    <mergeCell ref="B67:D67"/>
    <mergeCell ref="E67:I67"/>
    <mergeCell ref="B68:D68"/>
    <mergeCell ref="E68:I68"/>
    <mergeCell ref="B57:I57"/>
    <mergeCell ref="B58:I58"/>
    <mergeCell ref="B59:I59"/>
    <mergeCell ref="B60:D60"/>
    <mergeCell ref="E60:I60"/>
    <mergeCell ref="B61:D61"/>
    <mergeCell ref="E61:I61"/>
    <mergeCell ref="B62:D62"/>
    <mergeCell ref="E62:I62"/>
    <mergeCell ref="B52:D52"/>
    <mergeCell ref="E52:I52"/>
    <mergeCell ref="B53:D53"/>
    <mergeCell ref="E53:I53"/>
    <mergeCell ref="B54:D54"/>
    <mergeCell ref="E54:I54"/>
    <mergeCell ref="B55:D55"/>
    <mergeCell ref="E55:I55"/>
    <mergeCell ref="E56:I56"/>
    <mergeCell ref="B47:D47"/>
    <mergeCell ref="E47:I47"/>
    <mergeCell ref="B48:D48"/>
    <mergeCell ref="E48:I48"/>
    <mergeCell ref="B49:D49"/>
    <mergeCell ref="E49:I49"/>
    <mergeCell ref="B50:D50"/>
    <mergeCell ref="E50:I50"/>
    <mergeCell ref="B51:D51"/>
    <mergeCell ref="E51:I51"/>
    <mergeCell ref="B42:D42"/>
    <mergeCell ref="E42:I42"/>
    <mergeCell ref="B43:D43"/>
    <mergeCell ref="E43:I43"/>
    <mergeCell ref="B44:D44"/>
    <mergeCell ref="E44:I44"/>
    <mergeCell ref="B45:D45"/>
    <mergeCell ref="E45:I45"/>
    <mergeCell ref="B46:D46"/>
    <mergeCell ref="E46:I46"/>
    <mergeCell ref="B24:I24"/>
    <mergeCell ref="B28:I28"/>
    <mergeCell ref="B32:I32"/>
    <mergeCell ref="B37:I37"/>
    <mergeCell ref="B38:I38"/>
    <mergeCell ref="E39:I39"/>
    <mergeCell ref="B40:D40"/>
    <mergeCell ref="E40:I40"/>
    <mergeCell ref="B41:D41"/>
    <mergeCell ref="E41:I41"/>
    <mergeCell ref="B2:I2"/>
    <mergeCell ref="B3:I3"/>
    <mergeCell ref="B5:I5"/>
    <mergeCell ref="B6:I6"/>
    <mergeCell ref="B17:I17"/>
    <mergeCell ref="B18:I18"/>
    <mergeCell ref="D19:F19"/>
    <mergeCell ref="G19:H19"/>
    <mergeCell ref="B20:I20"/>
  </mergeCells>
  <pageMargins left="0.75" right="0.75" top="1" bottom="1" header="0.511811023622047" footer="0.511811023622047"/>
  <pageSetup paperSize="9" orientation="portrait" useFirstPageNumber="1"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94"/>
  <sheetViews>
    <sheetView showGridLines="0" topLeftCell="A48" zoomScaleNormal="100" workbookViewId="0">
      <selection activeCell="E71" sqref="E71:I71"/>
    </sheetView>
  </sheetViews>
  <sheetFormatPr defaultColWidth="8.5546875" defaultRowHeight="14.4" customHeight="1" x14ac:dyDescent="0.3"/>
  <cols>
    <col min="1" max="1" width="3" style="1" customWidth="1"/>
    <col min="2" max="2" width="12" style="1" customWidth="1"/>
    <col min="3" max="3" width="6" style="1" customWidth="1"/>
    <col min="4" max="4" width="12.6640625" style="1" customWidth="1"/>
    <col min="5" max="5" width="32" style="1" customWidth="1"/>
    <col min="6" max="6" width="20" style="1" customWidth="1"/>
    <col min="7" max="7" width="12" style="1" customWidth="1"/>
    <col min="8" max="8" width="28" style="1" customWidth="1"/>
    <col min="9" max="9" width="22" style="1" customWidth="1"/>
  </cols>
  <sheetData>
    <row r="1" spans="2:9" s="1" customFormat="1" ht="13.5" customHeight="1" x14ac:dyDescent="0.3"/>
    <row r="2" spans="2:9" s="1" customFormat="1" ht="33.75" customHeight="1" x14ac:dyDescent="0.3">
      <c r="B2" s="28" t="s">
        <v>79</v>
      </c>
      <c r="C2" s="25"/>
      <c r="D2" s="25"/>
      <c r="E2" s="25"/>
      <c r="F2" s="25"/>
      <c r="G2" s="25"/>
      <c r="H2" s="25"/>
      <c r="I2" s="18"/>
    </row>
    <row r="3" spans="2:9" s="1" customFormat="1" ht="15.75" customHeight="1" x14ac:dyDescent="0.3">
      <c r="B3" s="29" t="s">
        <v>80</v>
      </c>
      <c r="C3" s="30"/>
      <c r="D3" s="30"/>
      <c r="E3" s="30"/>
      <c r="F3" s="30"/>
      <c r="G3" s="30"/>
      <c r="H3" s="30"/>
      <c r="I3" s="30"/>
    </row>
    <row r="5" spans="2:9" s="1" customFormat="1" ht="21.75" customHeight="1" x14ac:dyDescent="0.3">
      <c r="B5" s="21" t="s">
        <v>81</v>
      </c>
      <c r="C5" s="25"/>
      <c r="D5" s="25"/>
      <c r="E5" s="25"/>
      <c r="F5" s="25"/>
      <c r="G5" s="25"/>
      <c r="H5" s="25"/>
      <c r="I5" s="18"/>
    </row>
    <row r="6" spans="2:9" s="1" customFormat="1" ht="13.5" customHeight="1" x14ac:dyDescent="0.3">
      <c r="B6" s="31" t="s">
        <v>82</v>
      </c>
      <c r="C6" s="30"/>
      <c r="D6" s="30"/>
      <c r="E6" s="30"/>
      <c r="F6" s="30"/>
      <c r="G6" s="30"/>
      <c r="H6" s="30"/>
      <c r="I6" s="30"/>
    </row>
    <row r="7" spans="2:9" s="1" customFormat="1" ht="19.5" customHeight="1" x14ac:dyDescent="0.3">
      <c r="B7" s="4" t="s">
        <v>83</v>
      </c>
      <c r="C7" s="4" t="s">
        <v>84</v>
      </c>
      <c r="D7" s="4" t="s">
        <v>85</v>
      </c>
      <c r="E7" s="4" t="s">
        <v>86</v>
      </c>
      <c r="F7" s="4" t="s">
        <v>87</v>
      </c>
      <c r="G7" s="4" t="s">
        <v>88</v>
      </c>
      <c r="H7" s="4" t="s">
        <v>89</v>
      </c>
      <c r="I7" s="4" t="s">
        <v>90</v>
      </c>
    </row>
    <row r="8" spans="2:9" s="1" customFormat="1" ht="18" customHeight="1" x14ac:dyDescent="0.3">
      <c r="B8" s="2" t="s">
        <v>462</v>
      </c>
      <c r="C8" s="2" t="s">
        <v>52</v>
      </c>
      <c r="D8" s="2" t="s">
        <v>92</v>
      </c>
      <c r="E8" s="2" t="s">
        <v>463</v>
      </c>
      <c r="F8" s="2" t="s">
        <v>464</v>
      </c>
      <c r="G8" s="2" t="s">
        <v>95</v>
      </c>
      <c r="H8" s="2" t="s">
        <v>465</v>
      </c>
      <c r="I8" s="2" t="s">
        <v>466</v>
      </c>
    </row>
    <row r="9" spans="2:9" s="1" customFormat="1" ht="18" customHeight="1" x14ac:dyDescent="0.3">
      <c r="B9" s="2" t="s">
        <v>462</v>
      </c>
      <c r="C9" s="2" t="s">
        <v>57</v>
      </c>
      <c r="D9" s="2" t="s">
        <v>92</v>
      </c>
      <c r="E9" s="2" t="s">
        <v>467</v>
      </c>
      <c r="F9" s="2" t="s">
        <v>468</v>
      </c>
      <c r="G9" s="2" t="s">
        <v>100</v>
      </c>
      <c r="H9" s="2" t="s">
        <v>469</v>
      </c>
      <c r="I9" s="2" t="s">
        <v>470</v>
      </c>
    </row>
    <row r="10" spans="2:9" s="1" customFormat="1" ht="18" customHeight="1" x14ac:dyDescent="0.3">
      <c r="B10" s="2" t="s">
        <v>462</v>
      </c>
      <c r="C10" s="2" t="s">
        <v>62</v>
      </c>
      <c r="D10" s="2" t="s">
        <v>92</v>
      </c>
      <c r="E10" s="2" t="s">
        <v>471</v>
      </c>
      <c r="F10" s="2" t="s">
        <v>472</v>
      </c>
      <c r="G10" s="2" t="s">
        <v>95</v>
      </c>
      <c r="H10" s="2" t="s">
        <v>473</v>
      </c>
      <c r="I10" s="2" t="s">
        <v>474</v>
      </c>
    </row>
    <row r="11" spans="2:9" s="1" customFormat="1" ht="18" customHeight="1" x14ac:dyDescent="0.3">
      <c r="B11" s="2"/>
      <c r="C11" s="2"/>
      <c r="D11" s="2"/>
      <c r="E11" s="2"/>
      <c r="F11" s="2"/>
      <c r="G11" s="2"/>
      <c r="H11" s="2"/>
      <c r="I11" s="2"/>
    </row>
    <row r="12" spans="2:9" s="1" customFormat="1" ht="18" customHeight="1" x14ac:dyDescent="0.3">
      <c r="B12" s="2"/>
      <c r="C12" s="2"/>
      <c r="D12" s="2"/>
      <c r="E12" s="2"/>
      <c r="F12" s="2"/>
      <c r="G12" s="2"/>
      <c r="H12" s="2"/>
      <c r="I12" s="2"/>
    </row>
    <row r="13" spans="2:9" s="1" customFormat="1" ht="18" customHeight="1" x14ac:dyDescent="0.3">
      <c r="B13" s="2"/>
      <c r="C13" s="2"/>
      <c r="D13" s="2"/>
      <c r="E13" s="2"/>
      <c r="F13" s="2"/>
      <c r="G13" s="2"/>
      <c r="H13" s="2"/>
      <c r="I13" s="2"/>
    </row>
    <row r="14" spans="2:9" s="1" customFormat="1" ht="18" customHeight="1" x14ac:dyDescent="0.3">
      <c r="B14" s="2"/>
      <c r="C14" s="2"/>
      <c r="D14" s="2"/>
      <c r="E14" s="2"/>
      <c r="F14" s="2"/>
      <c r="G14" s="2"/>
      <c r="H14" s="2"/>
      <c r="I14" s="2"/>
    </row>
    <row r="15" spans="2:9" s="1" customFormat="1" ht="18" customHeight="1" x14ac:dyDescent="0.3">
      <c r="B15" s="2"/>
      <c r="C15" s="2"/>
      <c r="D15" s="2"/>
      <c r="E15" s="2"/>
      <c r="F15" s="2"/>
      <c r="G15" s="2"/>
      <c r="H15" s="2"/>
      <c r="I15" s="2"/>
    </row>
    <row r="17" spans="2:9" s="1" customFormat="1" ht="21.75" customHeight="1" x14ac:dyDescent="0.3">
      <c r="B17" s="23" t="s">
        <v>130</v>
      </c>
      <c r="C17" s="25"/>
      <c r="D17" s="25"/>
      <c r="E17" s="25"/>
      <c r="F17" s="25"/>
      <c r="G17" s="25"/>
      <c r="H17" s="25"/>
      <c r="I17" s="18"/>
    </row>
    <row r="18" spans="2:9" s="1" customFormat="1" ht="13.5" customHeight="1" x14ac:dyDescent="0.3">
      <c r="B18" s="31" t="s">
        <v>31</v>
      </c>
      <c r="C18" s="30"/>
      <c r="D18" s="30"/>
      <c r="E18" s="30"/>
      <c r="F18" s="30"/>
      <c r="G18" s="30"/>
      <c r="H18" s="30"/>
      <c r="I18" s="30"/>
    </row>
    <row r="19" spans="2:9" s="1" customFormat="1" ht="19.5" customHeight="1" x14ac:dyDescent="0.3">
      <c r="B19" s="11" t="s">
        <v>131</v>
      </c>
      <c r="C19" s="11" t="s">
        <v>84</v>
      </c>
      <c r="D19" s="32" t="s">
        <v>132</v>
      </c>
      <c r="E19" s="25"/>
      <c r="F19" s="18"/>
      <c r="G19" s="32" t="s">
        <v>133</v>
      </c>
      <c r="H19" s="18"/>
      <c r="I19" s="11" t="s">
        <v>51</v>
      </c>
    </row>
    <row r="20" spans="2:9" s="1" customFormat="1" ht="15.75" customHeight="1" x14ac:dyDescent="0.3">
      <c r="B20" s="33" t="s">
        <v>134</v>
      </c>
      <c r="C20" s="25"/>
      <c r="D20" s="25"/>
      <c r="E20" s="25"/>
      <c r="F20" s="25"/>
      <c r="G20" s="25"/>
      <c r="H20" s="25"/>
      <c r="I20" s="18"/>
    </row>
    <row r="21" spans="2:9" s="1" customFormat="1" ht="18" customHeight="1" x14ac:dyDescent="0.3">
      <c r="B21" s="2"/>
      <c r="C21" s="2" t="s">
        <v>52</v>
      </c>
      <c r="D21" s="2"/>
      <c r="E21" s="2" t="s">
        <v>475</v>
      </c>
      <c r="F21" s="2"/>
      <c r="G21" s="2"/>
      <c r="H21" s="2"/>
      <c r="I21" s="2"/>
    </row>
    <row r="22" spans="2:9" s="1" customFormat="1" ht="18" customHeight="1" x14ac:dyDescent="0.3">
      <c r="B22" s="2"/>
      <c r="C22" s="2"/>
      <c r="D22" s="2"/>
      <c r="E22" s="2"/>
      <c r="F22" s="2"/>
      <c r="G22" s="2"/>
      <c r="H22" s="2"/>
      <c r="I22" s="2"/>
    </row>
    <row r="23" spans="2:9" s="1" customFormat="1" ht="18" customHeight="1" x14ac:dyDescent="0.3">
      <c r="B23" s="2"/>
      <c r="C23" s="2"/>
      <c r="D23" s="2"/>
      <c r="E23" s="2"/>
      <c r="F23" s="2"/>
      <c r="G23" s="2"/>
      <c r="H23" s="2"/>
      <c r="I23" s="2"/>
    </row>
    <row r="24" spans="2:9" s="1" customFormat="1" ht="15.75" customHeight="1" x14ac:dyDescent="0.3">
      <c r="B24" s="33" t="s">
        <v>144</v>
      </c>
      <c r="C24" s="25"/>
      <c r="D24" s="25"/>
      <c r="E24" s="25"/>
      <c r="F24" s="25"/>
      <c r="G24" s="25"/>
      <c r="H24" s="25"/>
      <c r="I24" s="18"/>
    </row>
    <row r="25" spans="2:9" s="1" customFormat="1" ht="18" customHeight="1" x14ac:dyDescent="0.3">
      <c r="B25" s="2"/>
      <c r="C25" s="2" t="s">
        <v>52</v>
      </c>
      <c r="D25" s="2"/>
      <c r="E25" s="2" t="s">
        <v>476</v>
      </c>
      <c r="F25" s="2"/>
      <c r="G25" s="2"/>
      <c r="H25" s="2"/>
      <c r="I25" s="2"/>
    </row>
    <row r="26" spans="2:9" s="1" customFormat="1" ht="18" customHeight="1" x14ac:dyDescent="0.3">
      <c r="B26" s="2"/>
      <c r="C26" s="2"/>
      <c r="D26" s="2"/>
      <c r="E26" s="2"/>
      <c r="F26" s="2"/>
      <c r="G26" s="2"/>
      <c r="H26" s="2"/>
      <c r="I26" s="2"/>
    </row>
    <row r="27" spans="2:9" s="1" customFormat="1" ht="18" customHeight="1" x14ac:dyDescent="0.3">
      <c r="B27" s="2"/>
      <c r="C27" s="2"/>
      <c r="D27" s="2"/>
      <c r="E27" s="2"/>
      <c r="F27" s="2"/>
      <c r="G27" s="2"/>
      <c r="H27" s="2"/>
      <c r="I27" s="2"/>
    </row>
    <row r="28" spans="2:9" s="1" customFormat="1" ht="15.75" customHeight="1" x14ac:dyDescent="0.3">
      <c r="B28" s="33" t="s">
        <v>154</v>
      </c>
      <c r="C28" s="25"/>
      <c r="D28" s="25"/>
      <c r="E28" s="25"/>
      <c r="F28" s="25"/>
      <c r="G28" s="25"/>
      <c r="H28" s="25"/>
      <c r="I28" s="18"/>
    </row>
    <row r="29" spans="2:9" s="1" customFormat="1" ht="18" customHeight="1" x14ac:dyDescent="0.3">
      <c r="B29" s="2"/>
      <c r="C29" s="2" t="s">
        <v>52</v>
      </c>
      <c r="D29" s="2"/>
      <c r="E29" s="2" t="s">
        <v>477</v>
      </c>
      <c r="F29" s="2"/>
      <c r="G29" s="2"/>
      <c r="H29" s="2"/>
      <c r="I29" s="2"/>
    </row>
    <row r="30" spans="2:9" s="1" customFormat="1" ht="18" customHeight="1" x14ac:dyDescent="0.3">
      <c r="B30" s="2"/>
      <c r="C30" s="2"/>
      <c r="D30" s="2"/>
      <c r="E30" s="2"/>
      <c r="F30" s="2"/>
      <c r="G30" s="2"/>
      <c r="H30" s="2"/>
      <c r="I30" s="2"/>
    </row>
    <row r="31" spans="2:9" s="1" customFormat="1" ht="18" customHeight="1" x14ac:dyDescent="0.3">
      <c r="B31" s="2"/>
      <c r="C31" s="2"/>
      <c r="D31" s="2"/>
      <c r="E31" s="2"/>
      <c r="F31" s="2"/>
      <c r="G31" s="2"/>
      <c r="H31" s="2"/>
      <c r="I31" s="2"/>
    </row>
    <row r="32" spans="2:9" s="1" customFormat="1" ht="15.75" customHeight="1" x14ac:dyDescent="0.3">
      <c r="B32" s="33" t="s">
        <v>156</v>
      </c>
      <c r="C32" s="25"/>
      <c r="D32" s="25"/>
      <c r="E32" s="25"/>
      <c r="F32" s="25"/>
      <c r="G32" s="25"/>
      <c r="H32" s="25"/>
      <c r="I32" s="18"/>
    </row>
    <row r="33" spans="2:9" s="1" customFormat="1" ht="18" customHeight="1" x14ac:dyDescent="0.3">
      <c r="B33" s="2"/>
      <c r="C33" s="2"/>
      <c r="D33" s="2"/>
      <c r="E33" s="2"/>
      <c r="F33" s="2"/>
      <c r="G33" s="2"/>
      <c r="H33" s="2"/>
      <c r="I33" s="2"/>
    </row>
    <row r="34" spans="2:9" s="1" customFormat="1" ht="18" customHeight="1" x14ac:dyDescent="0.3">
      <c r="B34" s="2"/>
      <c r="C34" s="2"/>
      <c r="D34" s="2"/>
      <c r="E34" s="2"/>
      <c r="F34" s="2"/>
      <c r="G34" s="2"/>
      <c r="H34" s="2"/>
      <c r="I34" s="2"/>
    </row>
    <row r="35" spans="2:9" s="1" customFormat="1" ht="18" customHeight="1" x14ac:dyDescent="0.3">
      <c r="B35" s="2"/>
      <c r="C35" s="2"/>
      <c r="D35" s="2"/>
      <c r="E35" s="2"/>
      <c r="F35" s="2"/>
      <c r="G35" s="2"/>
      <c r="H35" s="2"/>
      <c r="I35" s="2"/>
    </row>
    <row r="37" spans="2:9" s="1" customFormat="1" ht="21.75" customHeight="1" x14ac:dyDescent="0.3">
      <c r="B37" s="22" t="s">
        <v>157</v>
      </c>
      <c r="C37" s="25"/>
      <c r="D37" s="25"/>
      <c r="E37" s="25"/>
      <c r="F37" s="25"/>
      <c r="G37" s="25"/>
      <c r="H37" s="25"/>
      <c r="I37" s="18"/>
    </row>
    <row r="38" spans="2:9" s="1" customFormat="1" ht="13.5" customHeight="1" x14ac:dyDescent="0.3">
      <c r="B38" s="31" t="s">
        <v>158</v>
      </c>
      <c r="C38" s="30"/>
      <c r="D38" s="30"/>
      <c r="E38" s="30"/>
      <c r="F38" s="30"/>
      <c r="G38" s="30"/>
      <c r="H38" s="30"/>
      <c r="I38" s="30"/>
    </row>
    <row r="39" spans="2:9" s="1" customFormat="1" ht="19.5" customHeight="1" x14ac:dyDescent="0.3">
      <c r="B39" s="12" t="s">
        <v>159</v>
      </c>
      <c r="C39" s="12" t="s">
        <v>160</v>
      </c>
      <c r="D39" s="12" t="s">
        <v>161</v>
      </c>
      <c r="E39" s="34" t="s">
        <v>162</v>
      </c>
      <c r="F39" s="25"/>
      <c r="G39" s="25"/>
      <c r="H39" s="25"/>
      <c r="I39" s="18"/>
    </row>
    <row r="40" spans="2:9" s="1" customFormat="1" ht="21.75" customHeight="1" x14ac:dyDescent="0.3">
      <c r="B40" s="35" t="s">
        <v>163</v>
      </c>
      <c r="C40" s="25"/>
      <c r="D40" s="18"/>
      <c r="E40" s="36" t="s">
        <v>478</v>
      </c>
      <c r="F40" s="25"/>
      <c r="G40" s="25"/>
      <c r="H40" s="25"/>
      <c r="I40" s="18"/>
    </row>
    <row r="41" spans="2:9" s="1" customFormat="1" ht="21.75" customHeight="1" x14ac:dyDescent="0.3">
      <c r="B41" s="37" t="s">
        <v>165</v>
      </c>
      <c r="C41" s="25"/>
      <c r="D41" s="18"/>
      <c r="E41" s="36" t="s">
        <v>479</v>
      </c>
      <c r="F41" s="25"/>
      <c r="G41" s="25"/>
      <c r="H41" s="25"/>
      <c r="I41" s="18"/>
    </row>
    <row r="42" spans="2:9" s="1" customFormat="1" ht="21.75" customHeight="1" x14ac:dyDescent="0.3">
      <c r="B42" s="37" t="s">
        <v>167</v>
      </c>
      <c r="C42" s="25"/>
      <c r="D42" s="18"/>
      <c r="E42" s="36" t="s">
        <v>480</v>
      </c>
      <c r="F42" s="25"/>
      <c r="G42" s="25"/>
      <c r="H42" s="25"/>
      <c r="I42" s="18"/>
    </row>
    <row r="43" spans="2:9" s="1" customFormat="1" ht="21.75" customHeight="1" x14ac:dyDescent="0.3">
      <c r="B43" s="37" t="s">
        <v>169</v>
      </c>
      <c r="C43" s="25"/>
      <c r="D43" s="18"/>
      <c r="E43" s="36" t="s">
        <v>481</v>
      </c>
      <c r="F43" s="25"/>
      <c r="G43" s="25"/>
      <c r="H43" s="25"/>
      <c r="I43" s="18"/>
    </row>
    <row r="44" spans="2:9" s="1" customFormat="1" ht="21.75" customHeight="1" x14ac:dyDescent="0.3">
      <c r="B44" s="35" t="s">
        <v>382</v>
      </c>
      <c r="C44" s="25"/>
      <c r="D44" s="18"/>
      <c r="E44" s="36"/>
      <c r="F44" s="25"/>
      <c r="G44" s="25"/>
      <c r="H44" s="25"/>
      <c r="I44" s="18"/>
    </row>
    <row r="45" spans="2:9" s="1" customFormat="1" ht="21.75" customHeight="1" x14ac:dyDescent="0.3">
      <c r="B45" s="37" t="s">
        <v>165</v>
      </c>
      <c r="C45" s="25"/>
      <c r="D45" s="18"/>
      <c r="E45" s="36"/>
      <c r="F45" s="25"/>
      <c r="G45" s="25"/>
      <c r="H45" s="25"/>
      <c r="I45" s="18"/>
    </row>
    <row r="46" spans="2:9" s="1" customFormat="1" ht="21.75" customHeight="1" x14ac:dyDescent="0.3">
      <c r="B46" s="37" t="s">
        <v>167</v>
      </c>
      <c r="C46" s="25"/>
      <c r="D46" s="18"/>
      <c r="E46" s="36"/>
      <c r="F46" s="25"/>
      <c r="G46" s="25"/>
      <c r="H46" s="25"/>
      <c r="I46" s="18"/>
    </row>
    <row r="47" spans="2:9" s="1" customFormat="1" ht="21.75" customHeight="1" x14ac:dyDescent="0.3">
      <c r="B47" s="37" t="s">
        <v>169</v>
      </c>
      <c r="C47" s="25"/>
      <c r="D47" s="18"/>
      <c r="E47" s="36"/>
      <c r="F47" s="25"/>
      <c r="G47" s="25"/>
      <c r="H47" s="25"/>
      <c r="I47" s="18"/>
    </row>
    <row r="48" spans="2:9" s="1" customFormat="1" ht="21.75" customHeight="1" x14ac:dyDescent="0.3">
      <c r="B48" s="35" t="s">
        <v>383</v>
      </c>
      <c r="C48" s="25"/>
      <c r="D48" s="18"/>
      <c r="E48" s="36"/>
      <c r="F48" s="25"/>
      <c r="G48" s="25"/>
      <c r="H48" s="25"/>
      <c r="I48" s="18"/>
    </row>
    <row r="49" spans="2:9" s="1" customFormat="1" ht="21.75" customHeight="1" x14ac:dyDescent="0.3">
      <c r="B49" s="37" t="s">
        <v>165</v>
      </c>
      <c r="C49" s="25"/>
      <c r="D49" s="18"/>
      <c r="E49" s="36"/>
      <c r="F49" s="25"/>
      <c r="G49" s="25"/>
      <c r="H49" s="25"/>
      <c r="I49" s="18"/>
    </row>
    <row r="50" spans="2:9" s="1" customFormat="1" ht="21.75" customHeight="1" x14ac:dyDescent="0.3">
      <c r="B50" s="37" t="s">
        <v>167</v>
      </c>
      <c r="C50" s="25"/>
      <c r="D50" s="18"/>
      <c r="E50" s="36"/>
      <c r="F50" s="25"/>
      <c r="G50" s="25"/>
      <c r="H50" s="25"/>
      <c r="I50" s="18"/>
    </row>
    <row r="51" spans="2:9" s="1" customFormat="1" ht="21.75" customHeight="1" x14ac:dyDescent="0.3">
      <c r="B51" s="37" t="s">
        <v>169</v>
      </c>
      <c r="C51" s="25"/>
      <c r="D51" s="18"/>
      <c r="E51" s="36"/>
      <c r="F51" s="25"/>
      <c r="G51" s="25"/>
      <c r="H51" s="25"/>
      <c r="I51" s="18"/>
    </row>
    <row r="52" spans="2:9" s="1" customFormat="1" ht="21.75" customHeight="1" x14ac:dyDescent="0.3">
      <c r="B52" s="35" t="s">
        <v>181</v>
      </c>
      <c r="C52" s="25"/>
      <c r="D52" s="18"/>
      <c r="E52" s="36"/>
      <c r="F52" s="25"/>
      <c r="G52" s="25"/>
      <c r="H52" s="25"/>
      <c r="I52" s="18"/>
    </row>
    <row r="53" spans="2:9" s="1" customFormat="1" ht="21.75" customHeight="1" x14ac:dyDescent="0.3">
      <c r="B53" s="37" t="s">
        <v>165</v>
      </c>
      <c r="C53" s="25"/>
      <c r="D53" s="18"/>
      <c r="E53" s="36"/>
      <c r="F53" s="25"/>
      <c r="G53" s="25"/>
      <c r="H53" s="25"/>
      <c r="I53" s="18"/>
    </row>
    <row r="54" spans="2:9" s="1" customFormat="1" ht="21.75" customHeight="1" x14ac:dyDescent="0.3">
      <c r="B54" s="37" t="s">
        <v>167</v>
      </c>
      <c r="C54" s="25"/>
      <c r="D54" s="18"/>
      <c r="E54" s="36"/>
      <c r="F54" s="25"/>
      <c r="G54" s="25"/>
      <c r="H54" s="25"/>
      <c r="I54" s="18"/>
    </row>
    <row r="55" spans="2:9" s="1" customFormat="1" ht="21.75" customHeight="1" x14ac:dyDescent="0.3">
      <c r="B55" s="37" t="s">
        <v>169</v>
      </c>
      <c r="C55" s="25"/>
      <c r="D55" s="18"/>
      <c r="E55" s="36"/>
      <c r="F55" s="25"/>
      <c r="G55" s="25"/>
      <c r="H55" s="25"/>
      <c r="I55" s="18"/>
    </row>
    <row r="56" spans="2:9" x14ac:dyDescent="0.3">
      <c r="E56" s="36"/>
      <c r="F56" s="25"/>
      <c r="G56" s="25"/>
      <c r="H56" s="25"/>
      <c r="I56" s="18"/>
    </row>
    <row r="57" spans="2:9" s="1" customFormat="1" ht="21.75" customHeight="1" x14ac:dyDescent="0.3">
      <c r="B57" s="40" t="s">
        <v>182</v>
      </c>
      <c r="C57" s="25"/>
      <c r="D57" s="25"/>
      <c r="E57" s="25"/>
      <c r="F57" s="25"/>
      <c r="G57" s="25"/>
      <c r="H57" s="25"/>
      <c r="I57" s="18"/>
    </row>
    <row r="58" spans="2:9" s="1" customFormat="1" ht="13.5" customHeight="1" x14ac:dyDescent="0.3">
      <c r="B58" s="31" t="s">
        <v>183</v>
      </c>
      <c r="C58" s="30"/>
      <c r="D58" s="30"/>
      <c r="E58" s="30"/>
      <c r="F58" s="30"/>
      <c r="G58" s="30"/>
      <c r="H58" s="30"/>
      <c r="I58" s="30"/>
    </row>
    <row r="59" spans="2:9" s="1" customFormat="1" ht="18" customHeight="1" x14ac:dyDescent="0.3">
      <c r="B59" s="41" t="s">
        <v>184</v>
      </c>
      <c r="C59" s="25"/>
      <c r="D59" s="25"/>
      <c r="E59" s="25"/>
      <c r="F59" s="25"/>
      <c r="G59" s="25"/>
      <c r="H59" s="25"/>
      <c r="I59" s="18"/>
    </row>
    <row r="60" spans="2:9" s="1" customFormat="1" ht="18" customHeight="1" x14ac:dyDescent="0.3">
      <c r="B60" s="42" t="s">
        <v>185</v>
      </c>
      <c r="C60" s="25"/>
      <c r="D60" s="18"/>
      <c r="E60" s="43" t="s">
        <v>482</v>
      </c>
      <c r="F60" s="30"/>
      <c r="G60" s="30"/>
      <c r="H60" s="30"/>
      <c r="I60" s="30"/>
    </row>
    <row r="61" spans="2:9" s="1" customFormat="1" ht="18" customHeight="1" x14ac:dyDescent="0.3">
      <c r="B61" s="42" t="s">
        <v>187</v>
      </c>
      <c r="C61" s="25"/>
      <c r="D61" s="18"/>
      <c r="E61" s="43" t="s">
        <v>483</v>
      </c>
      <c r="F61" s="30"/>
      <c r="G61" s="30"/>
      <c r="H61" s="30"/>
      <c r="I61" s="30"/>
    </row>
    <row r="62" spans="2:9" s="1" customFormat="1" ht="18" customHeight="1" x14ac:dyDescent="0.3">
      <c r="B62" s="42" t="s">
        <v>189</v>
      </c>
      <c r="C62" s="25"/>
      <c r="D62" s="18"/>
      <c r="E62" s="43" t="s">
        <v>484</v>
      </c>
      <c r="F62" s="30"/>
      <c r="G62" s="30"/>
      <c r="H62" s="30"/>
      <c r="I62" s="30"/>
    </row>
    <row r="63" spans="2:9" s="1" customFormat="1" ht="18" customHeight="1" x14ac:dyDescent="0.3">
      <c r="B63" s="42" t="s">
        <v>191</v>
      </c>
      <c r="C63" s="25"/>
      <c r="D63" s="18"/>
      <c r="E63" s="43" t="s">
        <v>485</v>
      </c>
      <c r="F63" s="30"/>
      <c r="G63" s="30"/>
      <c r="H63" s="30"/>
      <c r="I63" s="30"/>
    </row>
    <row r="64" spans="2:9" s="1" customFormat="1" ht="18" customHeight="1" x14ac:dyDescent="0.3">
      <c r="B64" s="42" t="s">
        <v>193</v>
      </c>
      <c r="C64" s="25"/>
      <c r="D64" s="18"/>
      <c r="E64" s="43" t="s">
        <v>486</v>
      </c>
      <c r="F64" s="30"/>
      <c r="G64" s="30"/>
      <c r="H64" s="30"/>
      <c r="I64" s="30"/>
    </row>
    <row r="66" spans="2:9" s="1" customFormat="1" ht="18" customHeight="1" x14ac:dyDescent="0.3">
      <c r="B66" s="41" t="s">
        <v>195</v>
      </c>
      <c r="C66" s="25"/>
      <c r="D66" s="25"/>
      <c r="E66" s="25"/>
      <c r="F66" s="25"/>
      <c r="G66" s="25"/>
      <c r="H66" s="25"/>
      <c r="I66" s="18"/>
    </row>
    <row r="67" spans="2:9" s="1" customFormat="1" ht="18" customHeight="1" x14ac:dyDescent="0.3">
      <c r="B67" s="42" t="s">
        <v>185</v>
      </c>
      <c r="C67" s="25"/>
      <c r="D67" s="18"/>
      <c r="E67" s="43" t="s">
        <v>208</v>
      </c>
      <c r="F67" s="30"/>
      <c r="G67" s="30"/>
      <c r="H67" s="30"/>
      <c r="I67" s="30"/>
    </row>
    <row r="68" spans="2:9" s="1" customFormat="1" ht="18" customHeight="1" x14ac:dyDescent="0.3">
      <c r="B68" s="42" t="s">
        <v>187</v>
      </c>
      <c r="C68" s="25"/>
      <c r="D68" s="18"/>
      <c r="E68" s="43" t="s">
        <v>209</v>
      </c>
      <c r="F68" s="30"/>
      <c r="G68" s="30"/>
      <c r="H68" s="30"/>
      <c r="I68" s="30"/>
    </row>
    <row r="69" spans="2:9" s="1" customFormat="1" ht="18" customHeight="1" x14ac:dyDescent="0.3">
      <c r="B69" s="42" t="s">
        <v>189</v>
      </c>
      <c r="C69" s="25"/>
      <c r="D69" s="18"/>
      <c r="E69" s="43" t="s">
        <v>210</v>
      </c>
      <c r="F69" s="30"/>
      <c r="G69" s="30"/>
      <c r="H69" s="30"/>
      <c r="I69" s="30"/>
    </row>
    <row r="70" spans="2:9" s="1" customFormat="1" ht="18" customHeight="1" x14ac:dyDescent="0.3">
      <c r="B70" s="42" t="s">
        <v>191</v>
      </c>
      <c r="C70" s="25"/>
      <c r="D70" s="18"/>
      <c r="E70" s="43" t="s">
        <v>211</v>
      </c>
      <c r="F70" s="30"/>
      <c r="G70" s="30"/>
      <c r="H70" s="30"/>
      <c r="I70" s="30"/>
    </row>
    <row r="71" spans="2:9" s="1" customFormat="1" ht="18" customHeight="1" x14ac:dyDescent="0.3">
      <c r="B71" s="42" t="s">
        <v>193</v>
      </c>
      <c r="C71" s="25"/>
      <c r="D71" s="18"/>
      <c r="E71" s="43" t="s">
        <v>212</v>
      </c>
      <c r="F71" s="30"/>
      <c r="G71" s="30"/>
      <c r="H71" s="30"/>
      <c r="I71" s="30"/>
    </row>
    <row r="73" spans="2:9" s="1" customFormat="1" ht="18" customHeight="1" x14ac:dyDescent="0.3">
      <c r="B73" s="41" t="s">
        <v>201</v>
      </c>
      <c r="C73" s="25"/>
      <c r="D73" s="25"/>
      <c r="E73" s="25"/>
      <c r="F73" s="25"/>
      <c r="G73" s="25"/>
      <c r="H73" s="25"/>
      <c r="I73" s="18"/>
    </row>
    <row r="74" spans="2:9" s="1" customFormat="1" ht="18" customHeight="1" x14ac:dyDescent="0.3">
      <c r="B74" s="42" t="s">
        <v>185</v>
      </c>
      <c r="C74" s="25"/>
      <c r="D74" s="18"/>
      <c r="E74" s="37" t="s">
        <v>208</v>
      </c>
      <c r="F74" s="25"/>
      <c r="G74" s="25"/>
      <c r="H74" s="25"/>
      <c r="I74" s="18"/>
    </row>
    <row r="75" spans="2:9" s="1" customFormat="1" ht="18" customHeight="1" x14ac:dyDescent="0.3">
      <c r="B75" s="42" t="s">
        <v>187</v>
      </c>
      <c r="C75" s="25"/>
      <c r="D75" s="18"/>
      <c r="E75" s="37" t="s">
        <v>209</v>
      </c>
      <c r="F75" s="25"/>
      <c r="G75" s="25"/>
      <c r="H75" s="25"/>
      <c r="I75" s="18"/>
    </row>
    <row r="76" spans="2:9" s="1" customFormat="1" ht="18" customHeight="1" x14ac:dyDescent="0.3">
      <c r="B76" s="42" t="s">
        <v>189</v>
      </c>
      <c r="C76" s="25"/>
      <c r="D76" s="18"/>
      <c r="E76" s="37" t="s">
        <v>210</v>
      </c>
      <c r="F76" s="25"/>
      <c r="G76" s="25"/>
      <c r="H76" s="25"/>
      <c r="I76" s="18"/>
    </row>
    <row r="77" spans="2:9" s="1" customFormat="1" ht="18" customHeight="1" x14ac:dyDescent="0.3">
      <c r="B77" s="42" t="s">
        <v>191</v>
      </c>
      <c r="C77" s="25"/>
      <c r="D77" s="18"/>
      <c r="E77" s="37" t="s">
        <v>211</v>
      </c>
      <c r="F77" s="25"/>
      <c r="G77" s="25"/>
      <c r="H77" s="25"/>
      <c r="I77" s="18"/>
    </row>
    <row r="78" spans="2:9" s="1" customFormat="1" ht="18" customHeight="1" x14ac:dyDescent="0.3">
      <c r="B78" s="42" t="s">
        <v>193</v>
      </c>
      <c r="C78" s="25"/>
      <c r="D78" s="18"/>
      <c r="E78" s="37" t="s">
        <v>212</v>
      </c>
      <c r="F78" s="25"/>
      <c r="G78" s="25"/>
      <c r="H78" s="25"/>
      <c r="I78" s="18"/>
    </row>
    <row r="80" spans="2:9" s="1" customFormat="1" ht="18" customHeight="1" x14ac:dyDescent="0.3">
      <c r="B80" s="41" t="s">
        <v>207</v>
      </c>
      <c r="C80" s="25"/>
      <c r="D80" s="25"/>
      <c r="E80" s="25"/>
      <c r="F80" s="25"/>
      <c r="G80" s="25"/>
      <c r="H80" s="25"/>
      <c r="I80" s="18"/>
    </row>
    <row r="81" spans="2:9" s="1" customFormat="1" ht="18" customHeight="1" x14ac:dyDescent="0.3">
      <c r="B81" s="42" t="s">
        <v>185</v>
      </c>
      <c r="C81" s="25"/>
      <c r="D81" s="18"/>
      <c r="E81" s="37" t="s">
        <v>208</v>
      </c>
      <c r="F81" s="25"/>
      <c r="G81" s="25"/>
      <c r="H81" s="25"/>
      <c r="I81" s="18"/>
    </row>
    <row r="82" spans="2:9" s="1" customFormat="1" ht="18" customHeight="1" x14ac:dyDescent="0.3">
      <c r="B82" s="42" t="s">
        <v>187</v>
      </c>
      <c r="C82" s="25"/>
      <c r="D82" s="18"/>
      <c r="E82" s="37" t="s">
        <v>209</v>
      </c>
      <c r="F82" s="25"/>
      <c r="G82" s="25"/>
      <c r="H82" s="25"/>
      <c r="I82" s="18"/>
    </row>
    <row r="83" spans="2:9" s="1" customFormat="1" ht="18" customHeight="1" x14ac:dyDescent="0.3">
      <c r="B83" s="42" t="s">
        <v>189</v>
      </c>
      <c r="C83" s="25"/>
      <c r="D83" s="18"/>
      <c r="E83" s="37" t="s">
        <v>210</v>
      </c>
      <c r="F83" s="25"/>
      <c r="G83" s="25"/>
      <c r="H83" s="25"/>
      <c r="I83" s="18"/>
    </row>
    <row r="84" spans="2:9" s="1" customFormat="1" ht="18" customHeight="1" x14ac:dyDescent="0.3">
      <c r="B84" s="42" t="s">
        <v>191</v>
      </c>
      <c r="C84" s="25"/>
      <c r="D84" s="18"/>
      <c r="E84" s="37" t="s">
        <v>211</v>
      </c>
      <c r="F84" s="25"/>
      <c r="G84" s="25"/>
      <c r="H84" s="25"/>
      <c r="I84" s="18"/>
    </row>
    <row r="85" spans="2:9" s="1" customFormat="1" ht="18" customHeight="1" x14ac:dyDescent="0.3">
      <c r="B85" s="42" t="s">
        <v>193</v>
      </c>
      <c r="C85" s="25"/>
      <c r="D85" s="18"/>
      <c r="E85" s="37" t="s">
        <v>212</v>
      </c>
      <c r="F85" s="25"/>
      <c r="G85" s="25"/>
      <c r="H85" s="25"/>
      <c r="I85" s="18"/>
    </row>
    <row r="87" spans="2:9" s="1" customFormat="1" ht="18" customHeight="1" x14ac:dyDescent="0.3">
      <c r="B87" s="41" t="s">
        <v>213</v>
      </c>
      <c r="C87" s="25"/>
      <c r="D87" s="25"/>
      <c r="E87" s="25"/>
      <c r="F87" s="25"/>
      <c r="G87" s="25"/>
      <c r="H87" s="25"/>
      <c r="I87" s="18"/>
    </row>
    <row r="88" spans="2:9" s="1" customFormat="1" ht="18" customHeight="1" x14ac:dyDescent="0.3">
      <c r="B88" s="42" t="s">
        <v>185</v>
      </c>
      <c r="C88" s="25"/>
      <c r="D88" s="18"/>
      <c r="E88" s="37" t="s">
        <v>208</v>
      </c>
      <c r="F88" s="25"/>
      <c r="G88" s="25"/>
      <c r="H88" s="25"/>
      <c r="I88" s="18"/>
    </row>
    <row r="89" spans="2:9" s="1" customFormat="1" ht="18" customHeight="1" x14ac:dyDescent="0.3">
      <c r="B89" s="42" t="s">
        <v>187</v>
      </c>
      <c r="C89" s="25"/>
      <c r="D89" s="18"/>
      <c r="E89" s="37" t="s">
        <v>209</v>
      </c>
      <c r="F89" s="25"/>
      <c r="G89" s="25"/>
      <c r="H89" s="25"/>
      <c r="I89" s="18"/>
    </row>
    <row r="90" spans="2:9" s="1" customFormat="1" ht="18" customHeight="1" x14ac:dyDescent="0.3">
      <c r="B90" s="42" t="s">
        <v>189</v>
      </c>
      <c r="C90" s="25"/>
      <c r="D90" s="18"/>
      <c r="E90" s="37" t="s">
        <v>210</v>
      </c>
      <c r="F90" s="25"/>
      <c r="G90" s="25"/>
      <c r="H90" s="25"/>
      <c r="I90" s="18"/>
    </row>
    <row r="91" spans="2:9" s="1" customFormat="1" ht="18" customHeight="1" x14ac:dyDescent="0.3">
      <c r="B91" s="42" t="s">
        <v>191</v>
      </c>
      <c r="C91" s="25"/>
      <c r="D91" s="18"/>
      <c r="E91" s="37" t="s">
        <v>211</v>
      </c>
      <c r="F91" s="25"/>
      <c r="G91" s="25"/>
      <c r="H91" s="25"/>
      <c r="I91" s="18"/>
    </row>
    <row r="92" spans="2:9" s="1" customFormat="1" ht="18" customHeight="1" x14ac:dyDescent="0.3">
      <c r="B92" s="42" t="s">
        <v>193</v>
      </c>
      <c r="C92" s="25"/>
      <c r="D92" s="18"/>
      <c r="E92" s="37" t="s">
        <v>212</v>
      </c>
      <c r="F92" s="25"/>
      <c r="G92" s="25"/>
      <c r="H92" s="25"/>
      <c r="I92" s="18"/>
    </row>
    <row r="94" spans="2:9" s="1" customFormat="1" ht="15.75" customHeight="1" x14ac:dyDescent="0.3">
      <c r="B94" s="45" t="s">
        <v>487</v>
      </c>
      <c r="C94" s="25"/>
      <c r="D94" s="25"/>
      <c r="E94" s="25"/>
      <c r="F94" s="25"/>
      <c r="G94" s="25"/>
      <c r="H94" s="25"/>
      <c r="I94" s="18"/>
    </row>
  </sheetData>
  <mergeCells count="106">
    <mergeCell ref="B92:D92"/>
    <mergeCell ref="E92:I92"/>
    <mergeCell ref="B94:I94"/>
    <mergeCell ref="B87:I87"/>
    <mergeCell ref="B88:D88"/>
    <mergeCell ref="E88:I88"/>
    <mergeCell ref="B89:D89"/>
    <mergeCell ref="E89:I89"/>
    <mergeCell ref="B90:D90"/>
    <mergeCell ref="E90:I90"/>
    <mergeCell ref="B91:D91"/>
    <mergeCell ref="E91:I91"/>
    <mergeCell ref="B81:D81"/>
    <mergeCell ref="E81:I81"/>
    <mergeCell ref="B82:D82"/>
    <mergeCell ref="E82:I82"/>
    <mergeCell ref="B83:D83"/>
    <mergeCell ref="E83:I83"/>
    <mergeCell ref="B84:D84"/>
    <mergeCell ref="E84:I84"/>
    <mergeCell ref="B85:D85"/>
    <mergeCell ref="E85:I85"/>
    <mergeCell ref="B75:D75"/>
    <mergeCell ref="E75:I75"/>
    <mergeCell ref="B76:D76"/>
    <mergeCell ref="E76:I76"/>
    <mergeCell ref="B77:D77"/>
    <mergeCell ref="E77:I77"/>
    <mergeCell ref="B78:D78"/>
    <mergeCell ref="E78:I78"/>
    <mergeCell ref="B80:I80"/>
    <mergeCell ref="B69:D69"/>
    <mergeCell ref="E69:I69"/>
    <mergeCell ref="B70:D70"/>
    <mergeCell ref="E70:I70"/>
    <mergeCell ref="B71:D71"/>
    <mergeCell ref="E71:I71"/>
    <mergeCell ref="B73:I73"/>
    <mergeCell ref="B74:D74"/>
    <mergeCell ref="E74:I74"/>
    <mergeCell ref="B63:D63"/>
    <mergeCell ref="E63:I63"/>
    <mergeCell ref="B64:D64"/>
    <mergeCell ref="E64:I64"/>
    <mergeCell ref="B66:I66"/>
    <mergeCell ref="B67:D67"/>
    <mergeCell ref="E67:I67"/>
    <mergeCell ref="B68:D68"/>
    <mergeCell ref="E68:I68"/>
    <mergeCell ref="B57:I57"/>
    <mergeCell ref="B58:I58"/>
    <mergeCell ref="B59:I59"/>
    <mergeCell ref="B60:D60"/>
    <mergeCell ref="E60:I60"/>
    <mergeCell ref="B61:D61"/>
    <mergeCell ref="E61:I61"/>
    <mergeCell ref="B62:D62"/>
    <mergeCell ref="E62:I62"/>
    <mergeCell ref="B52:D52"/>
    <mergeCell ref="E52:I52"/>
    <mergeCell ref="B53:D53"/>
    <mergeCell ref="E53:I53"/>
    <mergeCell ref="B54:D54"/>
    <mergeCell ref="E54:I54"/>
    <mergeCell ref="B55:D55"/>
    <mergeCell ref="E55:I55"/>
    <mergeCell ref="E56:I56"/>
    <mergeCell ref="B47:D47"/>
    <mergeCell ref="E47:I47"/>
    <mergeCell ref="B48:D48"/>
    <mergeCell ref="E48:I48"/>
    <mergeCell ref="B49:D49"/>
    <mergeCell ref="E49:I49"/>
    <mergeCell ref="B50:D50"/>
    <mergeCell ref="E50:I50"/>
    <mergeCell ref="B51:D51"/>
    <mergeCell ref="E51:I51"/>
    <mergeCell ref="B42:D42"/>
    <mergeCell ref="E42:I42"/>
    <mergeCell ref="B43:D43"/>
    <mergeCell ref="E43:I43"/>
    <mergeCell ref="B44:D44"/>
    <mergeCell ref="E44:I44"/>
    <mergeCell ref="B45:D45"/>
    <mergeCell ref="E45:I45"/>
    <mergeCell ref="B46:D46"/>
    <mergeCell ref="E46:I46"/>
    <mergeCell ref="B24:I24"/>
    <mergeCell ref="B28:I28"/>
    <mergeCell ref="B32:I32"/>
    <mergeCell ref="B37:I37"/>
    <mergeCell ref="B38:I38"/>
    <mergeCell ref="E39:I39"/>
    <mergeCell ref="B40:D40"/>
    <mergeCell ref="E40:I40"/>
    <mergeCell ref="B41:D41"/>
    <mergeCell ref="E41:I41"/>
    <mergeCell ref="B2:I2"/>
    <mergeCell ref="B3:I3"/>
    <mergeCell ref="B5:I5"/>
    <mergeCell ref="B6:I6"/>
    <mergeCell ref="B17:I17"/>
    <mergeCell ref="B18:I18"/>
    <mergeCell ref="D19:F19"/>
    <mergeCell ref="G19:H19"/>
    <mergeCell ref="B20:I20"/>
  </mergeCells>
  <pageMargins left="0.75" right="0.75" top="1" bottom="1" header="0.511811023622047" footer="0.511811023622047"/>
  <pageSetup paperSize="9" orientation="portrait" useFirstPageNumber="1"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94"/>
  <sheetViews>
    <sheetView showGridLines="0" zoomScaleNormal="100" workbookViewId="0">
      <selection activeCell="E71" sqref="E71"/>
    </sheetView>
  </sheetViews>
  <sheetFormatPr defaultColWidth="8.5546875" defaultRowHeight="14.4" customHeight="1" x14ac:dyDescent="0.3"/>
  <cols>
    <col min="1" max="1" width="3" style="1" customWidth="1"/>
    <col min="2" max="2" width="12" style="1" customWidth="1"/>
    <col min="3" max="3" width="6" style="1" customWidth="1"/>
    <col min="4" max="4" width="12.6640625" style="1" customWidth="1"/>
    <col min="5" max="5" width="32" style="1" customWidth="1"/>
    <col min="6" max="6" width="20" style="1" customWidth="1"/>
    <col min="7" max="7" width="12" style="1" customWidth="1"/>
    <col min="8" max="8" width="28" style="1" customWidth="1"/>
    <col min="9" max="9" width="22" style="1" customWidth="1"/>
  </cols>
  <sheetData>
    <row r="1" spans="2:9" s="1" customFormat="1" ht="13.5" customHeight="1" x14ac:dyDescent="0.3"/>
    <row r="2" spans="2:9" s="1" customFormat="1" ht="33.75" customHeight="1" x14ac:dyDescent="0.3">
      <c r="B2" s="28" t="s">
        <v>79</v>
      </c>
      <c r="C2" s="25"/>
      <c r="D2" s="25"/>
      <c r="E2" s="25"/>
      <c r="F2" s="25"/>
      <c r="G2" s="25"/>
      <c r="H2" s="25"/>
      <c r="I2" s="18"/>
    </row>
    <row r="3" spans="2:9" s="1" customFormat="1" ht="15.75" customHeight="1" x14ac:dyDescent="0.3">
      <c r="B3" s="29" t="s">
        <v>80</v>
      </c>
      <c r="C3" s="30"/>
      <c r="D3" s="30"/>
      <c r="E3" s="30"/>
      <c r="F3" s="30"/>
      <c r="G3" s="30"/>
      <c r="H3" s="30"/>
      <c r="I3" s="30"/>
    </row>
    <row r="5" spans="2:9" s="1" customFormat="1" ht="21.75" customHeight="1" x14ac:dyDescent="0.3">
      <c r="B5" s="21" t="s">
        <v>81</v>
      </c>
      <c r="C5" s="25"/>
      <c r="D5" s="25"/>
      <c r="E5" s="25"/>
      <c r="F5" s="25"/>
      <c r="G5" s="25"/>
      <c r="H5" s="25"/>
      <c r="I5" s="18"/>
    </row>
    <row r="6" spans="2:9" s="1" customFormat="1" ht="13.5" customHeight="1" x14ac:dyDescent="0.3">
      <c r="B6" s="31" t="s">
        <v>82</v>
      </c>
      <c r="C6" s="30"/>
      <c r="D6" s="30"/>
      <c r="E6" s="30"/>
      <c r="F6" s="30"/>
      <c r="G6" s="30"/>
      <c r="H6" s="30"/>
      <c r="I6" s="30"/>
    </row>
    <row r="7" spans="2:9" s="1" customFormat="1" ht="19.5" customHeight="1" x14ac:dyDescent="0.3">
      <c r="B7" s="4" t="s">
        <v>83</v>
      </c>
      <c r="C7" s="4" t="s">
        <v>84</v>
      </c>
      <c r="D7" s="4" t="s">
        <v>85</v>
      </c>
      <c r="E7" s="4" t="s">
        <v>86</v>
      </c>
      <c r="F7" s="4" t="s">
        <v>87</v>
      </c>
      <c r="G7" s="4" t="s">
        <v>88</v>
      </c>
      <c r="H7" s="4" t="s">
        <v>89</v>
      </c>
      <c r="I7" s="4" t="s">
        <v>90</v>
      </c>
    </row>
    <row r="8" spans="2:9" s="1" customFormat="1" ht="18" customHeight="1" x14ac:dyDescent="0.3">
      <c r="B8" s="2" t="s">
        <v>488</v>
      </c>
      <c r="C8" s="2" t="s">
        <v>52</v>
      </c>
      <c r="D8" s="2" t="s">
        <v>92</v>
      </c>
      <c r="E8" s="2" t="s">
        <v>489</v>
      </c>
      <c r="F8" s="2" t="s">
        <v>490</v>
      </c>
      <c r="G8" s="2" t="s">
        <v>95</v>
      </c>
      <c r="H8" s="2" t="s">
        <v>491</v>
      </c>
      <c r="I8" s="2" t="s">
        <v>492</v>
      </c>
    </row>
    <row r="9" spans="2:9" s="1" customFormat="1" ht="18" customHeight="1" x14ac:dyDescent="0.3">
      <c r="B9" s="2" t="s">
        <v>488</v>
      </c>
      <c r="C9" s="2" t="s">
        <v>57</v>
      </c>
      <c r="D9" s="2" t="s">
        <v>92</v>
      </c>
      <c r="E9" s="2" t="s">
        <v>493</v>
      </c>
      <c r="F9" s="2" t="s">
        <v>472</v>
      </c>
      <c r="G9" s="2" t="s">
        <v>100</v>
      </c>
      <c r="H9" s="2" t="s">
        <v>494</v>
      </c>
      <c r="I9" s="2" t="s">
        <v>495</v>
      </c>
    </row>
    <row r="10" spans="2:9" s="1" customFormat="1" ht="18" customHeight="1" x14ac:dyDescent="0.3">
      <c r="B10" s="2" t="s">
        <v>488</v>
      </c>
      <c r="C10" s="2" t="s">
        <v>62</v>
      </c>
      <c r="D10" s="2" t="s">
        <v>92</v>
      </c>
      <c r="E10" s="2" t="s">
        <v>496</v>
      </c>
      <c r="F10" s="2" t="s">
        <v>497</v>
      </c>
      <c r="G10" s="2" t="s">
        <v>95</v>
      </c>
      <c r="H10" s="2" t="s">
        <v>498</v>
      </c>
      <c r="I10" s="2" t="s">
        <v>499</v>
      </c>
    </row>
    <row r="11" spans="2:9" s="1" customFormat="1" ht="18" customHeight="1" x14ac:dyDescent="0.3">
      <c r="B11" s="2"/>
      <c r="C11" s="2"/>
      <c r="D11" s="2"/>
      <c r="E11" s="2"/>
      <c r="F11" s="2"/>
      <c r="G11" s="2"/>
      <c r="H11" s="2"/>
      <c r="I11" s="2"/>
    </row>
    <row r="12" spans="2:9" s="1" customFormat="1" ht="18" customHeight="1" x14ac:dyDescent="0.3">
      <c r="B12" s="2"/>
      <c r="C12" s="2"/>
      <c r="D12" s="2"/>
      <c r="E12" s="2"/>
      <c r="F12" s="2"/>
      <c r="G12" s="2"/>
      <c r="H12" s="2"/>
      <c r="I12" s="2"/>
    </row>
    <row r="13" spans="2:9" s="1" customFormat="1" ht="18" customHeight="1" x14ac:dyDescent="0.3">
      <c r="B13" s="2"/>
      <c r="C13" s="2"/>
      <c r="D13" s="2"/>
      <c r="E13" s="2"/>
      <c r="F13" s="2"/>
      <c r="G13" s="2"/>
      <c r="H13" s="2"/>
      <c r="I13" s="2"/>
    </row>
    <row r="14" spans="2:9" s="1" customFormat="1" ht="18" customHeight="1" x14ac:dyDescent="0.3">
      <c r="B14" s="2"/>
      <c r="C14" s="2"/>
      <c r="D14" s="2"/>
      <c r="E14" s="2"/>
      <c r="F14" s="2"/>
      <c r="G14" s="2"/>
      <c r="H14" s="2"/>
      <c r="I14" s="2"/>
    </row>
    <row r="15" spans="2:9" s="1" customFormat="1" ht="18" customHeight="1" x14ac:dyDescent="0.3">
      <c r="B15" s="2"/>
      <c r="C15" s="2"/>
      <c r="D15" s="2"/>
      <c r="E15" s="2"/>
      <c r="F15" s="2"/>
      <c r="G15" s="2"/>
      <c r="H15" s="2"/>
      <c r="I15" s="2"/>
    </row>
    <row r="17" spans="2:9" s="1" customFormat="1" ht="21.75" customHeight="1" x14ac:dyDescent="0.3">
      <c r="B17" s="23" t="s">
        <v>130</v>
      </c>
      <c r="C17" s="25"/>
      <c r="D17" s="25"/>
      <c r="E17" s="25"/>
      <c r="F17" s="25"/>
      <c r="G17" s="25"/>
      <c r="H17" s="25"/>
      <c r="I17" s="18"/>
    </row>
    <row r="18" spans="2:9" s="1" customFormat="1" ht="13.5" customHeight="1" x14ac:dyDescent="0.3">
      <c r="B18" s="31" t="s">
        <v>31</v>
      </c>
      <c r="C18" s="30"/>
      <c r="D18" s="30"/>
      <c r="E18" s="30"/>
      <c r="F18" s="30"/>
      <c r="G18" s="30"/>
      <c r="H18" s="30"/>
      <c r="I18" s="30"/>
    </row>
    <row r="19" spans="2:9" s="1" customFormat="1" ht="19.5" customHeight="1" x14ac:dyDescent="0.3">
      <c r="B19" s="11" t="s">
        <v>131</v>
      </c>
      <c r="C19" s="11" t="s">
        <v>84</v>
      </c>
      <c r="D19" s="32" t="s">
        <v>132</v>
      </c>
      <c r="E19" s="25"/>
      <c r="F19" s="18"/>
      <c r="G19" s="32" t="s">
        <v>133</v>
      </c>
      <c r="H19" s="18"/>
      <c r="I19" s="11" t="s">
        <v>51</v>
      </c>
    </row>
    <row r="20" spans="2:9" s="1" customFormat="1" ht="15.75" customHeight="1" x14ac:dyDescent="0.3">
      <c r="B20" s="33" t="s">
        <v>134</v>
      </c>
      <c r="C20" s="25"/>
      <c r="D20" s="25"/>
      <c r="E20" s="25"/>
      <c r="F20" s="25"/>
      <c r="G20" s="25"/>
      <c r="H20" s="25"/>
      <c r="I20" s="18"/>
    </row>
    <row r="21" spans="2:9" s="1" customFormat="1" ht="18" customHeight="1" x14ac:dyDescent="0.3">
      <c r="B21" s="2"/>
      <c r="C21" s="2" t="s">
        <v>52</v>
      </c>
      <c r="D21" s="2"/>
      <c r="E21" s="2" t="s">
        <v>500</v>
      </c>
      <c r="F21" s="2"/>
      <c r="G21" s="2"/>
      <c r="H21" s="2"/>
      <c r="I21" s="2"/>
    </row>
    <row r="22" spans="2:9" s="1" customFormat="1" ht="18" customHeight="1" x14ac:dyDescent="0.3">
      <c r="B22" s="2"/>
      <c r="C22" s="2"/>
      <c r="D22" s="2"/>
      <c r="E22" s="2"/>
      <c r="F22" s="2"/>
      <c r="G22" s="2"/>
      <c r="H22" s="2"/>
      <c r="I22" s="2"/>
    </row>
    <row r="23" spans="2:9" s="1" customFormat="1" ht="18" customHeight="1" x14ac:dyDescent="0.3">
      <c r="B23" s="2"/>
      <c r="C23" s="2"/>
      <c r="D23" s="2"/>
      <c r="E23" s="2"/>
      <c r="F23" s="2"/>
      <c r="G23" s="2"/>
      <c r="H23" s="2"/>
      <c r="I23" s="2"/>
    </row>
    <row r="24" spans="2:9" s="1" customFormat="1" ht="15.75" customHeight="1" x14ac:dyDescent="0.3">
      <c r="B24" s="33" t="s">
        <v>144</v>
      </c>
      <c r="C24" s="25"/>
      <c r="D24" s="25"/>
      <c r="E24" s="25"/>
      <c r="F24" s="25"/>
      <c r="G24" s="25"/>
      <c r="H24" s="25"/>
      <c r="I24" s="18"/>
    </row>
    <row r="25" spans="2:9" s="1" customFormat="1" ht="18" customHeight="1" x14ac:dyDescent="0.3">
      <c r="B25" s="2"/>
      <c r="C25" s="2" t="s">
        <v>52</v>
      </c>
      <c r="D25" s="2"/>
      <c r="E25" s="2" t="s">
        <v>501</v>
      </c>
      <c r="F25" s="2"/>
      <c r="G25" s="2"/>
      <c r="H25" s="2"/>
      <c r="I25" s="2"/>
    </row>
    <row r="26" spans="2:9" s="1" customFormat="1" ht="18" customHeight="1" x14ac:dyDescent="0.3">
      <c r="B26" s="2"/>
      <c r="C26" s="2"/>
      <c r="D26" s="2"/>
      <c r="E26" s="2"/>
      <c r="F26" s="2"/>
      <c r="G26" s="2"/>
      <c r="H26" s="2"/>
      <c r="I26" s="2"/>
    </row>
    <row r="27" spans="2:9" s="1" customFormat="1" ht="18" customHeight="1" x14ac:dyDescent="0.3">
      <c r="B27" s="2"/>
      <c r="C27" s="2"/>
      <c r="D27" s="2"/>
      <c r="E27" s="2"/>
      <c r="F27" s="2"/>
      <c r="G27" s="2"/>
      <c r="H27" s="2"/>
      <c r="I27" s="2"/>
    </row>
    <row r="28" spans="2:9" s="1" customFormat="1" ht="15.75" customHeight="1" x14ac:dyDescent="0.3">
      <c r="B28" s="33" t="s">
        <v>154</v>
      </c>
      <c r="C28" s="25"/>
      <c r="D28" s="25"/>
      <c r="E28" s="25"/>
      <c r="F28" s="25"/>
      <c r="G28" s="25"/>
      <c r="H28" s="25"/>
      <c r="I28" s="18"/>
    </row>
    <row r="29" spans="2:9" s="1" customFormat="1" ht="18" customHeight="1" x14ac:dyDescent="0.3">
      <c r="B29" s="2"/>
      <c r="C29" s="2" t="s">
        <v>52</v>
      </c>
      <c r="D29" s="2"/>
      <c r="E29" s="2" t="s">
        <v>502</v>
      </c>
      <c r="F29" s="2"/>
      <c r="G29" s="2"/>
      <c r="H29" s="2"/>
      <c r="I29" s="2"/>
    </row>
    <row r="30" spans="2:9" s="1" customFormat="1" ht="18" customHeight="1" x14ac:dyDescent="0.3">
      <c r="B30" s="2"/>
      <c r="C30" s="2"/>
      <c r="D30" s="2"/>
      <c r="E30" s="2"/>
      <c r="F30" s="2"/>
      <c r="G30" s="2"/>
      <c r="H30" s="2"/>
      <c r="I30" s="2"/>
    </row>
    <row r="31" spans="2:9" s="1" customFormat="1" ht="18" customHeight="1" x14ac:dyDescent="0.3">
      <c r="B31" s="2"/>
      <c r="C31" s="2"/>
      <c r="D31" s="2"/>
      <c r="E31" s="2"/>
      <c r="F31" s="2"/>
      <c r="G31" s="2"/>
      <c r="H31" s="2"/>
      <c r="I31" s="2"/>
    </row>
    <row r="32" spans="2:9" s="1" customFormat="1" ht="15.75" customHeight="1" x14ac:dyDescent="0.3">
      <c r="B32" s="33" t="s">
        <v>156</v>
      </c>
      <c r="C32" s="25"/>
      <c r="D32" s="25"/>
      <c r="E32" s="25"/>
      <c r="F32" s="25"/>
      <c r="G32" s="25"/>
      <c r="H32" s="25"/>
      <c r="I32" s="18"/>
    </row>
    <row r="33" spans="2:9" s="1" customFormat="1" ht="18" customHeight="1" x14ac:dyDescent="0.3">
      <c r="B33" s="2"/>
      <c r="C33" s="2"/>
      <c r="D33" s="2"/>
      <c r="E33" s="2"/>
      <c r="F33" s="2"/>
      <c r="G33" s="2"/>
      <c r="H33" s="2"/>
      <c r="I33" s="2"/>
    </row>
    <row r="34" spans="2:9" s="1" customFormat="1" ht="18" customHeight="1" x14ac:dyDescent="0.3">
      <c r="B34" s="2"/>
      <c r="C34" s="2"/>
      <c r="D34" s="2"/>
      <c r="E34" s="2"/>
      <c r="F34" s="2"/>
      <c r="G34" s="2"/>
      <c r="H34" s="2"/>
      <c r="I34" s="2"/>
    </row>
    <row r="35" spans="2:9" s="1" customFormat="1" ht="18" customHeight="1" x14ac:dyDescent="0.3">
      <c r="B35" s="2"/>
      <c r="C35" s="2"/>
      <c r="D35" s="2"/>
      <c r="E35" s="2"/>
      <c r="F35" s="2"/>
      <c r="G35" s="2"/>
      <c r="H35" s="2"/>
      <c r="I35" s="2"/>
    </row>
    <row r="37" spans="2:9" s="1" customFormat="1" ht="21.75" customHeight="1" x14ac:dyDescent="0.3">
      <c r="B37" s="22" t="s">
        <v>157</v>
      </c>
      <c r="C37" s="25"/>
      <c r="D37" s="25"/>
      <c r="E37" s="25"/>
      <c r="F37" s="25"/>
      <c r="G37" s="25"/>
      <c r="H37" s="25"/>
      <c r="I37" s="18"/>
    </row>
    <row r="38" spans="2:9" s="1" customFormat="1" ht="13.5" customHeight="1" x14ac:dyDescent="0.3">
      <c r="B38" s="31" t="s">
        <v>158</v>
      </c>
      <c r="C38" s="30"/>
      <c r="D38" s="30"/>
      <c r="E38" s="30"/>
      <c r="F38" s="30"/>
      <c r="G38" s="30"/>
      <c r="H38" s="30"/>
      <c r="I38" s="30"/>
    </row>
    <row r="39" spans="2:9" s="1" customFormat="1" ht="19.5" customHeight="1" x14ac:dyDescent="0.3">
      <c r="B39" s="12" t="s">
        <v>159</v>
      </c>
      <c r="C39" s="12" t="s">
        <v>160</v>
      </c>
      <c r="D39" s="12" t="s">
        <v>161</v>
      </c>
      <c r="E39" s="34" t="s">
        <v>162</v>
      </c>
      <c r="F39" s="25"/>
      <c r="G39" s="25"/>
      <c r="H39" s="25"/>
      <c r="I39" s="18"/>
    </row>
    <row r="40" spans="2:9" s="1" customFormat="1" ht="21.75" customHeight="1" x14ac:dyDescent="0.3">
      <c r="B40" s="35" t="s">
        <v>163</v>
      </c>
      <c r="C40" s="25"/>
      <c r="D40" s="18"/>
      <c r="E40" s="36" t="s">
        <v>503</v>
      </c>
      <c r="F40" s="25"/>
      <c r="G40" s="25"/>
      <c r="H40" s="25"/>
      <c r="I40" s="18"/>
    </row>
    <row r="41" spans="2:9" s="1" customFormat="1" ht="21.75" customHeight="1" x14ac:dyDescent="0.3">
      <c r="B41" s="37" t="s">
        <v>165</v>
      </c>
      <c r="C41" s="25"/>
      <c r="D41" s="18"/>
      <c r="E41" s="36" t="s">
        <v>504</v>
      </c>
      <c r="F41" s="25"/>
      <c r="G41" s="25"/>
      <c r="H41" s="25"/>
      <c r="I41" s="18"/>
    </row>
    <row r="42" spans="2:9" s="1" customFormat="1" ht="21.75" customHeight="1" x14ac:dyDescent="0.3">
      <c r="B42" s="37" t="s">
        <v>167</v>
      </c>
      <c r="C42" s="25"/>
      <c r="D42" s="18"/>
      <c r="E42" s="36" t="s">
        <v>505</v>
      </c>
      <c r="F42" s="25"/>
      <c r="G42" s="25"/>
      <c r="H42" s="25"/>
      <c r="I42" s="18"/>
    </row>
    <row r="43" spans="2:9" s="1" customFormat="1" ht="21.75" customHeight="1" x14ac:dyDescent="0.3">
      <c r="B43" s="37" t="s">
        <v>169</v>
      </c>
      <c r="C43" s="25"/>
      <c r="D43" s="18"/>
      <c r="E43" s="36" t="s">
        <v>506</v>
      </c>
      <c r="F43" s="25"/>
      <c r="G43" s="25"/>
      <c r="H43" s="25"/>
      <c r="I43" s="18"/>
    </row>
    <row r="44" spans="2:9" s="1" customFormat="1" ht="21.75" customHeight="1" x14ac:dyDescent="0.3">
      <c r="B44" s="35" t="s">
        <v>382</v>
      </c>
      <c r="C44" s="25"/>
      <c r="D44" s="18"/>
      <c r="E44" s="36"/>
      <c r="F44" s="25"/>
      <c r="G44" s="25"/>
      <c r="H44" s="25"/>
      <c r="I44" s="18"/>
    </row>
    <row r="45" spans="2:9" s="1" customFormat="1" ht="21.75" customHeight="1" x14ac:dyDescent="0.3">
      <c r="B45" s="37" t="s">
        <v>165</v>
      </c>
      <c r="C45" s="25"/>
      <c r="D45" s="18"/>
      <c r="E45" s="36"/>
      <c r="F45" s="25"/>
      <c r="G45" s="25"/>
      <c r="H45" s="25"/>
      <c r="I45" s="18"/>
    </row>
    <row r="46" spans="2:9" s="1" customFormat="1" ht="21.75" customHeight="1" x14ac:dyDescent="0.3">
      <c r="B46" s="37" t="s">
        <v>167</v>
      </c>
      <c r="C46" s="25"/>
      <c r="D46" s="18"/>
      <c r="E46" s="36"/>
      <c r="F46" s="25"/>
      <c r="G46" s="25"/>
      <c r="H46" s="25"/>
      <c r="I46" s="18"/>
    </row>
    <row r="47" spans="2:9" s="1" customFormat="1" ht="21.75" customHeight="1" x14ac:dyDescent="0.3">
      <c r="B47" s="37" t="s">
        <v>169</v>
      </c>
      <c r="C47" s="25"/>
      <c r="D47" s="18"/>
      <c r="E47" s="36"/>
      <c r="F47" s="25"/>
      <c r="G47" s="25"/>
      <c r="H47" s="25"/>
      <c r="I47" s="18"/>
    </row>
    <row r="48" spans="2:9" s="1" customFormat="1" ht="21.75" customHeight="1" x14ac:dyDescent="0.3">
      <c r="B48" s="35" t="s">
        <v>383</v>
      </c>
      <c r="C48" s="25"/>
      <c r="D48" s="18"/>
      <c r="E48" s="36"/>
      <c r="F48" s="25"/>
      <c r="G48" s="25"/>
      <c r="H48" s="25"/>
      <c r="I48" s="18"/>
    </row>
    <row r="49" spans="2:9" s="1" customFormat="1" ht="21.75" customHeight="1" x14ac:dyDescent="0.3">
      <c r="B49" s="37" t="s">
        <v>165</v>
      </c>
      <c r="C49" s="25"/>
      <c r="D49" s="18"/>
      <c r="E49" s="36"/>
      <c r="F49" s="25"/>
      <c r="G49" s="25"/>
      <c r="H49" s="25"/>
      <c r="I49" s="18"/>
    </row>
    <row r="50" spans="2:9" s="1" customFormat="1" ht="21.75" customHeight="1" x14ac:dyDescent="0.3">
      <c r="B50" s="37" t="s">
        <v>167</v>
      </c>
      <c r="C50" s="25"/>
      <c r="D50" s="18"/>
      <c r="E50" s="36"/>
      <c r="F50" s="25"/>
      <c r="G50" s="25"/>
      <c r="H50" s="25"/>
      <c r="I50" s="18"/>
    </row>
    <row r="51" spans="2:9" s="1" customFormat="1" ht="21.75" customHeight="1" x14ac:dyDescent="0.3">
      <c r="B51" s="37" t="s">
        <v>169</v>
      </c>
      <c r="C51" s="25"/>
      <c r="D51" s="18"/>
      <c r="E51" s="36"/>
      <c r="F51" s="25"/>
      <c r="G51" s="25"/>
      <c r="H51" s="25"/>
      <c r="I51" s="18"/>
    </row>
    <row r="52" spans="2:9" s="1" customFormat="1" ht="21.75" customHeight="1" x14ac:dyDescent="0.3">
      <c r="B52" s="35" t="s">
        <v>181</v>
      </c>
      <c r="C52" s="25"/>
      <c r="D52" s="18"/>
      <c r="E52" s="36"/>
      <c r="F52" s="25"/>
      <c r="G52" s="25"/>
      <c r="H52" s="25"/>
      <c r="I52" s="18"/>
    </row>
    <row r="53" spans="2:9" s="1" customFormat="1" ht="21.75" customHeight="1" x14ac:dyDescent="0.3">
      <c r="B53" s="37" t="s">
        <v>165</v>
      </c>
      <c r="C53" s="25"/>
      <c r="D53" s="18"/>
      <c r="E53" s="36"/>
      <c r="F53" s="25"/>
      <c r="G53" s="25"/>
      <c r="H53" s="25"/>
      <c r="I53" s="18"/>
    </row>
    <row r="54" spans="2:9" s="1" customFormat="1" ht="21.75" customHeight="1" x14ac:dyDescent="0.3">
      <c r="B54" s="37" t="s">
        <v>167</v>
      </c>
      <c r="C54" s="25"/>
      <c r="D54" s="18"/>
      <c r="E54" s="36"/>
      <c r="F54" s="25"/>
      <c r="G54" s="25"/>
      <c r="H54" s="25"/>
      <c r="I54" s="18"/>
    </row>
    <row r="55" spans="2:9" s="1" customFormat="1" ht="21.75" customHeight="1" x14ac:dyDescent="0.3">
      <c r="B55" s="37" t="s">
        <v>169</v>
      </c>
      <c r="C55" s="25"/>
      <c r="D55" s="18"/>
      <c r="E55" s="36"/>
      <c r="F55" s="25"/>
      <c r="G55" s="25"/>
      <c r="H55" s="25"/>
      <c r="I55" s="18"/>
    </row>
    <row r="56" spans="2:9" x14ac:dyDescent="0.3">
      <c r="E56" s="36"/>
      <c r="F56" s="25"/>
      <c r="G56" s="25"/>
      <c r="H56" s="25"/>
      <c r="I56" s="18"/>
    </row>
    <row r="57" spans="2:9" s="1" customFormat="1" ht="21.75" customHeight="1" x14ac:dyDescent="0.3">
      <c r="B57" s="40" t="s">
        <v>182</v>
      </c>
      <c r="C57" s="25"/>
      <c r="D57" s="25"/>
      <c r="E57" s="25"/>
      <c r="F57" s="25"/>
      <c r="G57" s="25"/>
      <c r="H57" s="25"/>
      <c r="I57" s="18"/>
    </row>
    <row r="58" spans="2:9" s="1" customFormat="1" ht="13.5" customHeight="1" x14ac:dyDescent="0.3">
      <c r="B58" s="31" t="s">
        <v>183</v>
      </c>
      <c r="C58" s="30"/>
      <c r="D58" s="30"/>
      <c r="E58" s="30"/>
      <c r="F58" s="30"/>
      <c r="G58" s="30"/>
      <c r="H58" s="30"/>
      <c r="I58" s="30"/>
    </row>
    <row r="59" spans="2:9" s="1" customFormat="1" ht="18" customHeight="1" x14ac:dyDescent="0.3">
      <c r="B59" s="41" t="s">
        <v>184</v>
      </c>
      <c r="C59" s="25"/>
      <c r="D59" s="25"/>
      <c r="E59" s="25"/>
      <c r="F59" s="25"/>
      <c r="G59" s="25"/>
      <c r="H59" s="25"/>
      <c r="I59" s="18"/>
    </row>
    <row r="60" spans="2:9" s="1" customFormat="1" ht="18" customHeight="1" x14ac:dyDescent="0.3">
      <c r="B60" s="42" t="s">
        <v>185</v>
      </c>
      <c r="C60" s="25"/>
      <c r="D60" s="18"/>
      <c r="E60" s="43" t="s">
        <v>507</v>
      </c>
      <c r="F60" s="30"/>
      <c r="G60" s="30"/>
      <c r="H60" s="30"/>
      <c r="I60" s="30"/>
    </row>
    <row r="61" spans="2:9" s="1" customFormat="1" ht="18" customHeight="1" x14ac:dyDescent="0.3">
      <c r="B61" s="42" t="s">
        <v>187</v>
      </c>
      <c r="C61" s="25"/>
      <c r="D61" s="18"/>
      <c r="E61" s="43" t="s">
        <v>508</v>
      </c>
      <c r="F61" s="30"/>
      <c r="G61" s="30"/>
      <c r="H61" s="30"/>
      <c r="I61" s="30"/>
    </row>
    <row r="62" spans="2:9" s="1" customFormat="1" ht="18" customHeight="1" x14ac:dyDescent="0.3">
      <c r="B62" s="42" t="s">
        <v>189</v>
      </c>
      <c r="C62" s="25"/>
      <c r="D62" s="18"/>
      <c r="E62" s="43" t="s">
        <v>509</v>
      </c>
      <c r="F62" s="30"/>
      <c r="G62" s="30"/>
      <c r="H62" s="30"/>
      <c r="I62" s="30"/>
    </row>
    <row r="63" spans="2:9" s="1" customFormat="1" ht="18" customHeight="1" x14ac:dyDescent="0.3">
      <c r="B63" s="42" t="s">
        <v>191</v>
      </c>
      <c r="C63" s="25"/>
      <c r="D63" s="18"/>
      <c r="E63" s="43" t="s">
        <v>510</v>
      </c>
      <c r="F63" s="30"/>
      <c r="G63" s="30"/>
      <c r="H63" s="30"/>
      <c r="I63" s="30"/>
    </row>
    <row r="64" spans="2:9" s="1" customFormat="1" ht="18" customHeight="1" x14ac:dyDescent="0.3">
      <c r="B64" s="42" t="s">
        <v>193</v>
      </c>
      <c r="C64" s="25"/>
      <c r="D64" s="18"/>
      <c r="E64" s="43" t="s">
        <v>511</v>
      </c>
      <c r="F64" s="30"/>
      <c r="G64" s="30"/>
      <c r="H64" s="30"/>
      <c r="I64" s="30"/>
    </row>
    <row r="66" spans="2:9" s="1" customFormat="1" ht="18" customHeight="1" x14ac:dyDescent="0.3">
      <c r="B66" s="41" t="s">
        <v>195</v>
      </c>
      <c r="C66" s="25"/>
      <c r="D66" s="25"/>
      <c r="E66" s="25"/>
      <c r="F66" s="25"/>
      <c r="G66" s="25"/>
      <c r="H66" s="25"/>
      <c r="I66" s="18"/>
    </row>
    <row r="67" spans="2:9" s="1" customFormat="1" ht="18" customHeight="1" x14ac:dyDescent="0.3">
      <c r="B67" s="42" t="s">
        <v>512</v>
      </c>
      <c r="C67" s="25"/>
      <c r="D67" s="18"/>
      <c r="E67" s="43" t="s">
        <v>208</v>
      </c>
      <c r="F67" s="30"/>
      <c r="G67" s="30"/>
      <c r="H67" s="30"/>
      <c r="I67" s="30"/>
    </row>
    <row r="68" spans="2:9" s="1" customFormat="1" ht="18" customHeight="1" x14ac:dyDescent="0.3">
      <c r="B68" s="42" t="s">
        <v>513</v>
      </c>
      <c r="C68" s="25"/>
      <c r="D68" s="18"/>
      <c r="E68" s="43" t="s">
        <v>209</v>
      </c>
      <c r="F68" s="30"/>
      <c r="G68" s="30"/>
      <c r="H68" s="30"/>
      <c r="I68" s="30"/>
    </row>
    <row r="69" spans="2:9" s="1" customFormat="1" ht="18" customHeight="1" x14ac:dyDescent="0.3">
      <c r="B69" s="42" t="s">
        <v>514</v>
      </c>
      <c r="C69" s="25"/>
      <c r="D69" s="18"/>
      <c r="E69" s="43" t="s">
        <v>210</v>
      </c>
      <c r="F69" s="30"/>
      <c r="G69" s="30"/>
      <c r="H69" s="30"/>
      <c r="I69" s="30"/>
    </row>
    <row r="70" spans="2:9" s="1" customFormat="1" ht="18" customHeight="1" x14ac:dyDescent="0.3">
      <c r="B70" s="42" t="s">
        <v>515</v>
      </c>
      <c r="C70" s="25"/>
      <c r="D70" s="18"/>
      <c r="E70" s="43" t="s">
        <v>211</v>
      </c>
      <c r="F70" s="30"/>
      <c r="G70" s="30"/>
      <c r="H70" s="30"/>
      <c r="I70" s="30"/>
    </row>
    <row r="71" spans="2:9" s="1" customFormat="1" ht="18" customHeight="1" x14ac:dyDescent="0.3">
      <c r="B71" s="42" t="s">
        <v>516</v>
      </c>
      <c r="C71" s="25"/>
      <c r="D71" s="18"/>
      <c r="E71" s="43" t="s">
        <v>212</v>
      </c>
      <c r="F71" s="30"/>
      <c r="G71" s="30"/>
      <c r="H71" s="30"/>
      <c r="I71" s="30"/>
    </row>
    <row r="73" spans="2:9" s="1" customFormat="1" ht="18" customHeight="1" x14ac:dyDescent="0.3">
      <c r="B73" s="41" t="s">
        <v>201</v>
      </c>
      <c r="C73" s="25"/>
      <c r="D73" s="25"/>
      <c r="E73" s="25"/>
      <c r="F73" s="25"/>
      <c r="G73" s="25"/>
      <c r="H73" s="25"/>
      <c r="I73" s="18"/>
    </row>
    <row r="74" spans="2:9" s="1" customFormat="1" ht="18" customHeight="1" x14ac:dyDescent="0.3">
      <c r="B74" s="42" t="s">
        <v>517</v>
      </c>
      <c r="C74" s="25"/>
      <c r="D74" s="18"/>
      <c r="E74" s="37" t="s">
        <v>208</v>
      </c>
      <c r="F74" s="25"/>
      <c r="G74" s="25"/>
      <c r="H74" s="25"/>
      <c r="I74" s="18"/>
    </row>
    <row r="75" spans="2:9" s="1" customFormat="1" ht="18" customHeight="1" x14ac:dyDescent="0.3">
      <c r="B75" s="42" t="s">
        <v>518</v>
      </c>
      <c r="C75" s="25"/>
      <c r="D75" s="18"/>
      <c r="E75" s="37" t="s">
        <v>209</v>
      </c>
      <c r="F75" s="25"/>
      <c r="G75" s="25"/>
      <c r="H75" s="25"/>
      <c r="I75" s="18"/>
    </row>
    <row r="76" spans="2:9" s="1" customFormat="1" ht="18" customHeight="1" x14ac:dyDescent="0.3">
      <c r="B76" s="42" t="s">
        <v>519</v>
      </c>
      <c r="C76" s="25"/>
      <c r="D76" s="18"/>
      <c r="E76" s="37" t="s">
        <v>210</v>
      </c>
      <c r="F76" s="25"/>
      <c r="G76" s="25"/>
      <c r="H76" s="25"/>
      <c r="I76" s="18"/>
    </row>
    <row r="77" spans="2:9" s="1" customFormat="1" ht="18" customHeight="1" x14ac:dyDescent="0.3">
      <c r="B77" s="42" t="s">
        <v>520</v>
      </c>
      <c r="C77" s="25"/>
      <c r="D77" s="18"/>
      <c r="E77" s="37" t="s">
        <v>211</v>
      </c>
      <c r="F77" s="25"/>
      <c r="G77" s="25"/>
      <c r="H77" s="25"/>
      <c r="I77" s="18"/>
    </row>
    <row r="78" spans="2:9" s="1" customFormat="1" ht="18" customHeight="1" x14ac:dyDescent="0.3">
      <c r="B78" s="42" t="s">
        <v>521</v>
      </c>
      <c r="C78" s="25"/>
      <c r="D78" s="18"/>
      <c r="E78" s="37" t="s">
        <v>212</v>
      </c>
      <c r="F78" s="25"/>
      <c r="G78" s="25"/>
      <c r="H78" s="25"/>
      <c r="I78" s="18"/>
    </row>
    <row r="80" spans="2:9" s="1" customFormat="1" ht="18" customHeight="1" x14ac:dyDescent="0.3">
      <c r="B80" s="41" t="s">
        <v>207</v>
      </c>
      <c r="C80" s="25"/>
      <c r="D80" s="25"/>
      <c r="E80" s="25"/>
      <c r="F80" s="25"/>
      <c r="G80" s="25"/>
      <c r="H80" s="25"/>
      <c r="I80" s="18"/>
    </row>
    <row r="81" spans="2:9" s="1" customFormat="1" ht="18" customHeight="1" x14ac:dyDescent="0.3">
      <c r="B81" s="42" t="s">
        <v>185</v>
      </c>
      <c r="C81" s="25"/>
      <c r="D81" s="18"/>
      <c r="E81" s="37" t="s">
        <v>208</v>
      </c>
      <c r="F81" s="25"/>
      <c r="G81" s="25"/>
      <c r="H81" s="25"/>
      <c r="I81" s="18"/>
    </row>
    <row r="82" spans="2:9" s="1" customFormat="1" ht="18" customHeight="1" x14ac:dyDescent="0.3">
      <c r="B82" s="42" t="s">
        <v>187</v>
      </c>
      <c r="C82" s="25"/>
      <c r="D82" s="18"/>
      <c r="E82" s="37" t="s">
        <v>209</v>
      </c>
      <c r="F82" s="25"/>
      <c r="G82" s="25"/>
      <c r="H82" s="25"/>
      <c r="I82" s="18"/>
    </row>
    <row r="83" spans="2:9" s="1" customFormat="1" ht="18" customHeight="1" x14ac:dyDescent="0.3">
      <c r="B83" s="42" t="s">
        <v>189</v>
      </c>
      <c r="C83" s="25"/>
      <c r="D83" s="18"/>
      <c r="E83" s="37" t="s">
        <v>210</v>
      </c>
      <c r="F83" s="25"/>
      <c r="G83" s="25"/>
      <c r="H83" s="25"/>
      <c r="I83" s="18"/>
    </row>
    <row r="84" spans="2:9" s="1" customFormat="1" ht="18" customHeight="1" x14ac:dyDescent="0.3">
      <c r="B84" s="42" t="s">
        <v>191</v>
      </c>
      <c r="C84" s="25"/>
      <c r="D84" s="18"/>
      <c r="E84" s="37" t="s">
        <v>211</v>
      </c>
      <c r="F84" s="25"/>
      <c r="G84" s="25"/>
      <c r="H84" s="25"/>
      <c r="I84" s="18"/>
    </row>
    <row r="85" spans="2:9" s="1" customFormat="1" ht="18" customHeight="1" x14ac:dyDescent="0.3">
      <c r="B85" s="42" t="s">
        <v>193</v>
      </c>
      <c r="C85" s="25"/>
      <c r="D85" s="18"/>
      <c r="E85" s="37" t="s">
        <v>212</v>
      </c>
      <c r="F85" s="25"/>
      <c r="G85" s="25"/>
      <c r="H85" s="25"/>
      <c r="I85" s="18"/>
    </row>
    <row r="87" spans="2:9" s="1" customFormat="1" ht="18" customHeight="1" x14ac:dyDescent="0.3">
      <c r="B87" s="41" t="s">
        <v>213</v>
      </c>
      <c r="C87" s="25"/>
      <c r="D87" s="25"/>
      <c r="E87" s="25"/>
      <c r="F87" s="25"/>
      <c r="G87" s="25"/>
      <c r="H87" s="25"/>
      <c r="I87" s="18"/>
    </row>
    <row r="88" spans="2:9" s="1" customFormat="1" ht="18" customHeight="1" x14ac:dyDescent="0.3">
      <c r="B88" s="42" t="s">
        <v>185</v>
      </c>
      <c r="C88" s="25"/>
      <c r="D88" s="18"/>
      <c r="E88" s="37" t="s">
        <v>208</v>
      </c>
      <c r="F88" s="25"/>
      <c r="G88" s="25"/>
      <c r="H88" s="25"/>
      <c r="I88" s="18"/>
    </row>
    <row r="89" spans="2:9" s="1" customFormat="1" ht="18" customHeight="1" x14ac:dyDescent="0.3">
      <c r="B89" s="42" t="s">
        <v>187</v>
      </c>
      <c r="C89" s="25"/>
      <c r="D89" s="18"/>
      <c r="E89" s="37" t="s">
        <v>209</v>
      </c>
      <c r="F89" s="25"/>
      <c r="G89" s="25"/>
      <c r="H89" s="25"/>
      <c r="I89" s="18"/>
    </row>
    <row r="90" spans="2:9" s="1" customFormat="1" ht="18" customHeight="1" x14ac:dyDescent="0.3">
      <c r="B90" s="42" t="s">
        <v>189</v>
      </c>
      <c r="C90" s="25"/>
      <c r="D90" s="18"/>
      <c r="E90" s="37" t="s">
        <v>210</v>
      </c>
      <c r="F90" s="25"/>
      <c r="G90" s="25"/>
      <c r="H90" s="25"/>
      <c r="I90" s="18"/>
    </row>
    <row r="91" spans="2:9" s="1" customFormat="1" ht="18" customHeight="1" x14ac:dyDescent="0.3">
      <c r="B91" s="42" t="s">
        <v>191</v>
      </c>
      <c r="C91" s="25"/>
      <c r="D91" s="18"/>
      <c r="E91" s="37" t="s">
        <v>211</v>
      </c>
      <c r="F91" s="25"/>
      <c r="G91" s="25"/>
      <c r="H91" s="25"/>
      <c r="I91" s="18"/>
    </row>
    <row r="92" spans="2:9" s="1" customFormat="1" ht="18" customHeight="1" x14ac:dyDescent="0.3">
      <c r="B92" s="42" t="s">
        <v>193</v>
      </c>
      <c r="C92" s="25"/>
      <c r="D92" s="18"/>
      <c r="E92" s="37" t="s">
        <v>212</v>
      </c>
      <c r="F92" s="25"/>
      <c r="G92" s="25"/>
      <c r="H92" s="25"/>
      <c r="I92" s="18"/>
    </row>
    <row r="94" spans="2:9" s="1" customFormat="1" ht="15.75" customHeight="1" x14ac:dyDescent="0.3">
      <c r="B94" s="45" t="s">
        <v>522</v>
      </c>
      <c r="C94" s="25"/>
      <c r="D94" s="25"/>
      <c r="E94" s="25"/>
      <c r="F94" s="25"/>
      <c r="G94" s="25"/>
      <c r="H94" s="25"/>
      <c r="I94" s="18"/>
    </row>
  </sheetData>
  <mergeCells count="106">
    <mergeCell ref="B92:D92"/>
    <mergeCell ref="E92:I92"/>
    <mergeCell ref="B94:I94"/>
    <mergeCell ref="B87:I87"/>
    <mergeCell ref="B88:D88"/>
    <mergeCell ref="E88:I88"/>
    <mergeCell ref="B89:D89"/>
    <mergeCell ref="E89:I89"/>
    <mergeCell ref="B90:D90"/>
    <mergeCell ref="E90:I90"/>
    <mergeCell ref="B91:D91"/>
    <mergeCell ref="E91:I91"/>
    <mergeCell ref="B81:D81"/>
    <mergeCell ref="E81:I81"/>
    <mergeCell ref="B82:D82"/>
    <mergeCell ref="E82:I82"/>
    <mergeCell ref="B83:D83"/>
    <mergeCell ref="E83:I83"/>
    <mergeCell ref="B84:D84"/>
    <mergeCell ref="E84:I84"/>
    <mergeCell ref="B85:D85"/>
    <mergeCell ref="E85:I85"/>
    <mergeCell ref="B75:D75"/>
    <mergeCell ref="E75:I75"/>
    <mergeCell ref="B76:D76"/>
    <mergeCell ref="E76:I76"/>
    <mergeCell ref="B77:D77"/>
    <mergeCell ref="E77:I77"/>
    <mergeCell ref="B78:D78"/>
    <mergeCell ref="E78:I78"/>
    <mergeCell ref="B80:I80"/>
    <mergeCell ref="B69:D69"/>
    <mergeCell ref="E69:I69"/>
    <mergeCell ref="B70:D70"/>
    <mergeCell ref="E70:I70"/>
    <mergeCell ref="B71:D71"/>
    <mergeCell ref="E71:I71"/>
    <mergeCell ref="B73:I73"/>
    <mergeCell ref="B74:D74"/>
    <mergeCell ref="E74:I74"/>
    <mergeCell ref="B63:D63"/>
    <mergeCell ref="E63:I63"/>
    <mergeCell ref="B64:D64"/>
    <mergeCell ref="E64:I64"/>
    <mergeCell ref="B66:I66"/>
    <mergeCell ref="B67:D67"/>
    <mergeCell ref="E67:I67"/>
    <mergeCell ref="B68:D68"/>
    <mergeCell ref="E68:I68"/>
    <mergeCell ref="B57:I57"/>
    <mergeCell ref="B58:I58"/>
    <mergeCell ref="B59:I59"/>
    <mergeCell ref="B60:D60"/>
    <mergeCell ref="E60:I60"/>
    <mergeCell ref="B61:D61"/>
    <mergeCell ref="E61:I61"/>
    <mergeCell ref="B62:D62"/>
    <mergeCell ref="E62:I62"/>
    <mergeCell ref="B52:D52"/>
    <mergeCell ref="E52:I52"/>
    <mergeCell ref="B53:D53"/>
    <mergeCell ref="E53:I53"/>
    <mergeCell ref="B54:D54"/>
    <mergeCell ref="E54:I54"/>
    <mergeCell ref="B55:D55"/>
    <mergeCell ref="E55:I55"/>
    <mergeCell ref="E56:I56"/>
    <mergeCell ref="B47:D47"/>
    <mergeCell ref="E47:I47"/>
    <mergeCell ref="B48:D48"/>
    <mergeCell ref="E48:I48"/>
    <mergeCell ref="B49:D49"/>
    <mergeCell ref="E49:I49"/>
    <mergeCell ref="B50:D50"/>
    <mergeCell ref="E50:I50"/>
    <mergeCell ref="B51:D51"/>
    <mergeCell ref="E51:I51"/>
    <mergeCell ref="B42:D42"/>
    <mergeCell ref="E42:I42"/>
    <mergeCell ref="B43:D43"/>
    <mergeCell ref="E43:I43"/>
    <mergeCell ref="B44:D44"/>
    <mergeCell ref="E44:I44"/>
    <mergeCell ref="B45:D45"/>
    <mergeCell ref="E45:I45"/>
    <mergeCell ref="B46:D46"/>
    <mergeCell ref="E46:I46"/>
    <mergeCell ref="B24:I24"/>
    <mergeCell ref="B28:I28"/>
    <mergeCell ref="B32:I32"/>
    <mergeCell ref="B37:I37"/>
    <mergeCell ref="B38:I38"/>
    <mergeCell ref="E39:I39"/>
    <mergeCell ref="B40:D40"/>
    <mergeCell ref="E40:I40"/>
    <mergeCell ref="B41:D41"/>
    <mergeCell ref="E41:I41"/>
    <mergeCell ref="B2:I2"/>
    <mergeCell ref="B3:I3"/>
    <mergeCell ref="B5:I5"/>
    <mergeCell ref="B6:I6"/>
    <mergeCell ref="B17:I17"/>
    <mergeCell ref="B18:I18"/>
    <mergeCell ref="D19:F19"/>
    <mergeCell ref="G19:H19"/>
    <mergeCell ref="B20:I20"/>
  </mergeCells>
  <pageMargins left="0.75" right="0.75" top="1" bottom="1" header="0.511811023622047" footer="0.511811023622047"/>
  <pageSetup paperSize="9" orientation="portrait" useFirstPageNumber="1"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94"/>
  <sheetViews>
    <sheetView showGridLines="0" tabSelected="1" zoomScaleNormal="100" workbookViewId="0">
      <selection activeCell="B45" sqref="B45:D45"/>
    </sheetView>
  </sheetViews>
  <sheetFormatPr defaultColWidth="8.5546875" defaultRowHeight="14.4" customHeight="1" x14ac:dyDescent="0.3"/>
  <cols>
    <col min="1" max="1" width="3" style="1" customWidth="1"/>
    <col min="2" max="2" width="12" style="1" customWidth="1"/>
    <col min="3" max="3" width="6" style="1" customWidth="1"/>
    <col min="4" max="4" width="12.6640625" style="1" customWidth="1"/>
    <col min="5" max="5" width="32" style="1" customWidth="1"/>
    <col min="6" max="6" width="20" style="1" customWidth="1"/>
    <col min="7" max="7" width="12" style="1" customWidth="1"/>
    <col min="8" max="8" width="28" style="1" customWidth="1"/>
    <col min="9" max="9" width="22" style="1" customWidth="1"/>
  </cols>
  <sheetData>
    <row r="1" spans="2:9" s="1" customFormat="1" ht="13.5" customHeight="1" x14ac:dyDescent="0.3"/>
    <row r="2" spans="2:9" s="1" customFormat="1" ht="33.75" customHeight="1" x14ac:dyDescent="0.3">
      <c r="B2" s="28" t="s">
        <v>79</v>
      </c>
      <c r="C2" s="25"/>
      <c r="D2" s="25"/>
      <c r="E2" s="25"/>
      <c r="F2" s="25"/>
      <c r="G2" s="25"/>
      <c r="H2" s="25"/>
      <c r="I2" s="18"/>
    </row>
    <row r="3" spans="2:9" s="1" customFormat="1" ht="15.75" customHeight="1" x14ac:dyDescent="0.3">
      <c r="B3" s="29" t="s">
        <v>80</v>
      </c>
      <c r="C3" s="30"/>
      <c r="D3" s="30"/>
      <c r="E3" s="30"/>
      <c r="F3" s="30"/>
      <c r="G3" s="30"/>
      <c r="H3" s="30"/>
      <c r="I3" s="30"/>
    </row>
    <row r="5" spans="2:9" s="1" customFormat="1" ht="21.75" customHeight="1" x14ac:dyDescent="0.3">
      <c r="B5" s="21" t="s">
        <v>81</v>
      </c>
      <c r="C5" s="25"/>
      <c r="D5" s="25"/>
      <c r="E5" s="25"/>
      <c r="F5" s="25"/>
      <c r="G5" s="25"/>
      <c r="H5" s="25"/>
      <c r="I5" s="18"/>
    </row>
    <row r="6" spans="2:9" s="1" customFormat="1" ht="13.5" customHeight="1" x14ac:dyDescent="0.3">
      <c r="B6" s="31" t="s">
        <v>82</v>
      </c>
      <c r="C6" s="30"/>
      <c r="D6" s="30"/>
      <c r="E6" s="30"/>
      <c r="F6" s="30"/>
      <c r="G6" s="30"/>
      <c r="H6" s="30"/>
      <c r="I6" s="30"/>
    </row>
    <row r="7" spans="2:9" s="1" customFormat="1" ht="19.5" customHeight="1" x14ac:dyDescent="0.3">
      <c r="B7" s="4" t="s">
        <v>83</v>
      </c>
      <c r="C7" s="4" t="s">
        <v>84</v>
      </c>
      <c r="D7" s="4" t="s">
        <v>85</v>
      </c>
      <c r="E7" s="4" t="s">
        <v>86</v>
      </c>
      <c r="F7" s="4" t="s">
        <v>87</v>
      </c>
      <c r="G7" s="4" t="s">
        <v>88</v>
      </c>
      <c r="H7" s="4" t="s">
        <v>89</v>
      </c>
      <c r="I7" s="4" t="s">
        <v>90</v>
      </c>
    </row>
    <row r="8" spans="2:9" s="1" customFormat="1" ht="18" customHeight="1" x14ac:dyDescent="0.3">
      <c r="B8" s="2" t="s">
        <v>523</v>
      </c>
      <c r="C8" s="2" t="s">
        <v>52</v>
      </c>
      <c r="D8" s="2" t="s">
        <v>92</v>
      </c>
      <c r="E8" s="2" t="s">
        <v>524</v>
      </c>
      <c r="F8" s="2" t="s">
        <v>525</v>
      </c>
      <c r="G8" s="2" t="s">
        <v>95</v>
      </c>
      <c r="H8" s="2" t="s">
        <v>526</v>
      </c>
      <c r="I8" s="2" t="s">
        <v>527</v>
      </c>
    </row>
    <row r="9" spans="2:9" s="1" customFormat="1" ht="18" customHeight="1" x14ac:dyDescent="0.3">
      <c r="B9" s="2" t="s">
        <v>523</v>
      </c>
      <c r="C9" s="2" t="s">
        <v>57</v>
      </c>
      <c r="D9" s="2" t="s">
        <v>92</v>
      </c>
      <c r="E9" s="2" t="s">
        <v>528</v>
      </c>
      <c r="F9" s="2" t="s">
        <v>529</v>
      </c>
      <c r="G9" s="2" t="s">
        <v>95</v>
      </c>
      <c r="H9" s="2" t="s">
        <v>530</v>
      </c>
      <c r="I9" s="2" t="s">
        <v>531</v>
      </c>
    </row>
    <row r="10" spans="2:9" s="1" customFormat="1" ht="18" customHeight="1" x14ac:dyDescent="0.3">
      <c r="B10" s="2" t="s">
        <v>523</v>
      </c>
      <c r="C10" s="2" t="s">
        <v>62</v>
      </c>
      <c r="D10" s="2" t="s">
        <v>92</v>
      </c>
      <c r="E10" s="2" t="s">
        <v>532</v>
      </c>
      <c r="F10" s="2" t="s">
        <v>533</v>
      </c>
      <c r="G10" s="2" t="s">
        <v>100</v>
      </c>
      <c r="H10" s="2" t="s">
        <v>534</v>
      </c>
      <c r="I10" s="2" t="s">
        <v>535</v>
      </c>
    </row>
    <row r="11" spans="2:9" s="1" customFormat="1" ht="18" customHeight="1" x14ac:dyDescent="0.3">
      <c r="B11" s="2"/>
      <c r="C11" s="2"/>
      <c r="D11" s="2"/>
      <c r="E11" s="2"/>
      <c r="F11" s="2"/>
      <c r="G11" s="2"/>
      <c r="H11" s="2"/>
      <c r="I11" s="2"/>
    </row>
    <row r="12" spans="2:9" s="1" customFormat="1" ht="18" customHeight="1" x14ac:dyDescent="0.3">
      <c r="B12" s="2"/>
      <c r="C12" s="2"/>
      <c r="D12" s="2"/>
      <c r="E12" s="2"/>
      <c r="F12" s="2"/>
      <c r="G12" s="2"/>
      <c r="H12" s="2"/>
      <c r="I12" s="2"/>
    </row>
    <row r="13" spans="2:9" s="1" customFormat="1" ht="18" customHeight="1" x14ac:dyDescent="0.3">
      <c r="B13" s="2"/>
      <c r="C13" s="2"/>
      <c r="D13" s="2"/>
      <c r="E13" s="2"/>
      <c r="F13" s="2"/>
      <c r="G13" s="2"/>
      <c r="H13" s="2"/>
      <c r="I13" s="2"/>
    </row>
    <row r="14" spans="2:9" s="1" customFormat="1" ht="18" customHeight="1" x14ac:dyDescent="0.3">
      <c r="B14" s="2"/>
      <c r="C14" s="2"/>
      <c r="D14" s="2"/>
      <c r="E14" s="2"/>
      <c r="F14" s="2"/>
      <c r="G14" s="2"/>
      <c r="H14" s="2"/>
      <c r="I14" s="2"/>
    </row>
    <row r="15" spans="2:9" s="1" customFormat="1" ht="18" customHeight="1" x14ac:dyDescent="0.3">
      <c r="B15" s="2"/>
      <c r="C15" s="2"/>
      <c r="D15" s="2"/>
      <c r="E15" s="2"/>
      <c r="F15" s="2"/>
      <c r="G15" s="2"/>
      <c r="H15" s="2"/>
      <c r="I15" s="2"/>
    </row>
    <row r="17" spans="2:9" s="1" customFormat="1" ht="21.75" customHeight="1" x14ac:dyDescent="0.3">
      <c r="B17" s="23" t="s">
        <v>130</v>
      </c>
      <c r="C17" s="25"/>
      <c r="D17" s="25"/>
      <c r="E17" s="25"/>
      <c r="F17" s="25"/>
      <c r="G17" s="25"/>
      <c r="H17" s="25"/>
      <c r="I17" s="18"/>
    </row>
    <row r="18" spans="2:9" s="1" customFormat="1" ht="13.5" customHeight="1" x14ac:dyDescent="0.3">
      <c r="B18" s="31" t="s">
        <v>31</v>
      </c>
      <c r="C18" s="30"/>
      <c r="D18" s="30"/>
      <c r="E18" s="30"/>
      <c r="F18" s="30"/>
      <c r="G18" s="30"/>
      <c r="H18" s="30"/>
      <c r="I18" s="30"/>
    </row>
    <row r="19" spans="2:9" s="1" customFormat="1" ht="19.5" customHeight="1" x14ac:dyDescent="0.3">
      <c r="B19" s="11" t="s">
        <v>131</v>
      </c>
      <c r="C19" s="11" t="s">
        <v>84</v>
      </c>
      <c r="D19" s="32" t="s">
        <v>132</v>
      </c>
      <c r="E19" s="25"/>
      <c r="F19" s="18"/>
      <c r="G19" s="32" t="s">
        <v>133</v>
      </c>
      <c r="H19" s="18"/>
      <c r="I19" s="11" t="s">
        <v>51</v>
      </c>
    </row>
    <row r="20" spans="2:9" s="1" customFormat="1" ht="15.75" customHeight="1" x14ac:dyDescent="0.3">
      <c r="B20" s="33" t="s">
        <v>134</v>
      </c>
      <c r="C20" s="25"/>
      <c r="D20" s="25"/>
      <c r="E20" s="25"/>
      <c r="F20" s="25"/>
      <c r="G20" s="25"/>
      <c r="H20" s="25"/>
      <c r="I20" s="18"/>
    </row>
    <row r="21" spans="2:9" s="1" customFormat="1" ht="18" customHeight="1" x14ac:dyDescent="0.3">
      <c r="B21" s="2"/>
      <c r="C21" s="2" t="s">
        <v>52</v>
      </c>
      <c r="D21" s="2"/>
      <c r="E21" s="2" t="s">
        <v>536</v>
      </c>
      <c r="F21" s="2"/>
      <c r="G21" s="2" t="s">
        <v>525</v>
      </c>
      <c r="H21" s="2"/>
      <c r="I21" s="2" t="s">
        <v>537</v>
      </c>
    </row>
    <row r="22" spans="2:9" s="1" customFormat="1" ht="18" customHeight="1" x14ac:dyDescent="0.3">
      <c r="B22" s="2"/>
      <c r="C22" s="2" t="s">
        <v>57</v>
      </c>
      <c r="D22" s="2"/>
      <c r="E22" s="2" t="s">
        <v>538</v>
      </c>
      <c r="F22" s="2"/>
      <c r="G22" s="2" t="s">
        <v>529</v>
      </c>
      <c r="H22" s="2"/>
      <c r="I22" s="2" t="s">
        <v>539</v>
      </c>
    </row>
    <row r="23" spans="2:9" s="1" customFormat="1" ht="18" customHeight="1" x14ac:dyDescent="0.3">
      <c r="B23" s="2"/>
      <c r="C23" s="2" t="s">
        <v>62</v>
      </c>
      <c r="D23" s="2"/>
      <c r="E23" s="2" t="s">
        <v>540</v>
      </c>
      <c r="F23" s="2"/>
      <c r="G23" s="2" t="s">
        <v>533</v>
      </c>
      <c r="H23" s="2"/>
      <c r="I23" s="2" t="s">
        <v>541</v>
      </c>
    </row>
    <row r="24" spans="2:9" s="1" customFormat="1" ht="15.75" customHeight="1" x14ac:dyDescent="0.3">
      <c r="B24" s="33" t="s">
        <v>144</v>
      </c>
      <c r="C24" s="25"/>
      <c r="D24" s="25"/>
      <c r="E24" s="25"/>
      <c r="F24" s="25"/>
      <c r="G24" s="25"/>
      <c r="H24" s="25"/>
      <c r="I24" s="18"/>
    </row>
    <row r="25" spans="2:9" s="1" customFormat="1" ht="18" customHeight="1" x14ac:dyDescent="0.3">
      <c r="B25" s="2"/>
      <c r="C25" s="2" t="s">
        <v>52</v>
      </c>
      <c r="D25" s="2"/>
      <c r="E25" s="2" t="s">
        <v>542</v>
      </c>
      <c r="F25" s="2"/>
      <c r="G25" s="2" t="s">
        <v>472</v>
      </c>
      <c r="H25" s="2"/>
      <c r="I25" s="2" t="s">
        <v>543</v>
      </c>
    </row>
    <row r="26" spans="2:9" s="1" customFormat="1" ht="18" customHeight="1" x14ac:dyDescent="0.3">
      <c r="B26" s="2"/>
      <c r="C26" s="2" t="s">
        <v>57</v>
      </c>
      <c r="D26" s="2"/>
      <c r="E26" s="2" t="s">
        <v>544</v>
      </c>
      <c r="F26" s="2"/>
      <c r="G26" s="2" t="s">
        <v>472</v>
      </c>
      <c r="H26" s="2"/>
      <c r="I26" s="2" t="s">
        <v>545</v>
      </c>
    </row>
    <row r="27" spans="2:9" s="1" customFormat="1" ht="18" customHeight="1" x14ac:dyDescent="0.3">
      <c r="B27" s="2"/>
      <c r="C27" s="2" t="s">
        <v>62</v>
      </c>
      <c r="D27" s="2"/>
      <c r="E27" s="2" t="s">
        <v>546</v>
      </c>
      <c r="F27" s="2"/>
      <c r="G27" s="2" t="s">
        <v>464</v>
      </c>
      <c r="H27" s="2"/>
      <c r="I27" s="2" t="s">
        <v>547</v>
      </c>
    </row>
    <row r="28" spans="2:9" s="1" customFormat="1" ht="15.75" customHeight="1" x14ac:dyDescent="0.3">
      <c r="B28" s="33" t="s">
        <v>154</v>
      </c>
      <c r="C28" s="25"/>
      <c r="D28" s="25"/>
      <c r="E28" s="25"/>
      <c r="F28" s="25"/>
      <c r="G28" s="25"/>
      <c r="H28" s="25"/>
      <c r="I28" s="18"/>
    </row>
    <row r="29" spans="2:9" s="1" customFormat="1" ht="18" customHeight="1" x14ac:dyDescent="0.3">
      <c r="B29" s="2"/>
      <c r="C29" s="2" t="s">
        <v>52</v>
      </c>
      <c r="D29" s="2"/>
      <c r="E29" s="2" t="s">
        <v>548</v>
      </c>
      <c r="F29" s="2"/>
      <c r="G29" s="2" t="s">
        <v>525</v>
      </c>
      <c r="H29" s="2"/>
      <c r="I29" s="2" t="s">
        <v>549</v>
      </c>
    </row>
    <row r="30" spans="2:9" s="1" customFormat="1" ht="18" customHeight="1" x14ac:dyDescent="0.3">
      <c r="B30" s="2"/>
      <c r="C30" s="2" t="s">
        <v>57</v>
      </c>
      <c r="D30" s="2"/>
      <c r="E30" s="2" t="s">
        <v>550</v>
      </c>
      <c r="F30" s="2"/>
      <c r="G30" s="2" t="s">
        <v>355</v>
      </c>
      <c r="H30" s="2"/>
      <c r="I30" s="2" t="s">
        <v>551</v>
      </c>
    </row>
    <row r="31" spans="2:9" s="1" customFormat="1" ht="18" customHeight="1" x14ac:dyDescent="0.3">
      <c r="B31" s="2"/>
      <c r="C31" s="2" t="s">
        <v>62</v>
      </c>
      <c r="D31" s="2"/>
      <c r="E31" s="2" t="s">
        <v>552</v>
      </c>
      <c r="F31" s="2"/>
      <c r="G31" s="2" t="s">
        <v>533</v>
      </c>
      <c r="H31" s="2"/>
      <c r="I31" s="2" t="s">
        <v>553</v>
      </c>
    </row>
    <row r="32" spans="2:9" s="1" customFormat="1" ht="15.75" customHeight="1" x14ac:dyDescent="0.3">
      <c r="B32" s="33" t="s">
        <v>156</v>
      </c>
      <c r="C32" s="25"/>
      <c r="D32" s="25"/>
      <c r="E32" s="25"/>
      <c r="F32" s="25"/>
      <c r="G32" s="25"/>
      <c r="H32" s="25"/>
      <c r="I32" s="18"/>
    </row>
    <row r="33" spans="1:9" s="1" customFormat="1" ht="18" customHeight="1" x14ac:dyDescent="0.3">
      <c r="B33" s="2"/>
      <c r="C33" s="2"/>
      <c r="D33" s="2"/>
      <c r="E33" s="2"/>
      <c r="F33" s="2"/>
      <c r="G33" s="2"/>
      <c r="H33" s="2"/>
      <c r="I33" s="2"/>
    </row>
    <row r="34" spans="1:9" s="1" customFormat="1" ht="18" customHeight="1" x14ac:dyDescent="0.3">
      <c r="B34" s="2"/>
      <c r="C34" s="2"/>
      <c r="D34" s="2"/>
      <c r="E34" s="2"/>
      <c r="F34" s="2"/>
      <c r="G34" s="2"/>
      <c r="H34" s="2"/>
      <c r="I34" s="2"/>
    </row>
    <row r="35" spans="1:9" s="1" customFormat="1" ht="18" customHeight="1" x14ac:dyDescent="0.3">
      <c r="B35" s="2"/>
      <c r="C35" s="2"/>
      <c r="D35" s="2"/>
      <c r="E35" s="2"/>
      <c r="F35" s="2"/>
      <c r="G35" s="2"/>
      <c r="H35" s="2"/>
      <c r="I35" s="2"/>
    </row>
    <row r="37" spans="1:9" s="1" customFormat="1" ht="21.75" customHeight="1" x14ac:dyDescent="0.3">
      <c r="B37" s="22" t="s">
        <v>157</v>
      </c>
      <c r="C37" s="25"/>
      <c r="D37" s="25"/>
      <c r="E37" s="25"/>
      <c r="F37" s="25"/>
      <c r="G37" s="25"/>
      <c r="H37" s="25"/>
      <c r="I37" s="18"/>
    </row>
    <row r="38" spans="1:9" s="1" customFormat="1" ht="13.5" customHeight="1" x14ac:dyDescent="0.3">
      <c r="B38" s="31" t="s">
        <v>158</v>
      </c>
      <c r="C38" s="30"/>
      <c r="D38" s="30"/>
      <c r="E38" s="30"/>
      <c r="F38" s="30"/>
      <c r="G38" s="30"/>
      <c r="H38" s="30"/>
      <c r="I38" s="30"/>
    </row>
    <row r="39" spans="1:9" s="1" customFormat="1" ht="19.5" customHeight="1" x14ac:dyDescent="0.3">
      <c r="A39" s="1" t="s">
        <v>163</v>
      </c>
      <c r="B39" s="12" t="s">
        <v>159</v>
      </c>
      <c r="C39" s="12" t="s">
        <v>160</v>
      </c>
      <c r="D39" s="12" t="s">
        <v>554</v>
      </c>
      <c r="E39" s="34" t="s">
        <v>162</v>
      </c>
      <c r="F39" s="25"/>
      <c r="G39" s="25"/>
      <c r="H39" s="25"/>
      <c r="I39" s="18"/>
    </row>
    <row r="40" spans="1:9" s="1" customFormat="1" ht="21.75" customHeight="1" x14ac:dyDescent="0.3">
      <c r="B40" s="35" t="s">
        <v>163</v>
      </c>
      <c r="C40" s="25"/>
      <c r="D40" s="18"/>
      <c r="E40" s="36" t="s">
        <v>555</v>
      </c>
      <c r="F40" s="25"/>
      <c r="G40" s="25"/>
      <c r="H40" s="25"/>
      <c r="I40" s="18"/>
    </row>
    <row r="41" spans="1:9" s="1" customFormat="1" ht="21.75" customHeight="1" x14ac:dyDescent="0.3">
      <c r="B41" s="37" t="s">
        <v>165</v>
      </c>
      <c r="C41" s="25"/>
      <c r="D41" s="18"/>
      <c r="E41" s="36" t="s">
        <v>556</v>
      </c>
      <c r="F41" s="25"/>
      <c r="G41" s="25"/>
      <c r="H41" s="25"/>
      <c r="I41" s="18"/>
    </row>
    <row r="42" spans="1:9" s="1" customFormat="1" ht="21.75" customHeight="1" x14ac:dyDescent="0.3">
      <c r="B42" s="37" t="s">
        <v>167</v>
      </c>
      <c r="C42" s="25"/>
      <c r="D42" s="18"/>
      <c r="E42" s="36" t="s">
        <v>557</v>
      </c>
      <c r="F42" s="25"/>
      <c r="G42" s="25"/>
      <c r="H42" s="25"/>
      <c r="I42" s="18"/>
    </row>
    <row r="43" spans="1:9" s="1" customFormat="1" ht="21.75" customHeight="1" x14ac:dyDescent="0.3">
      <c r="A43" s="1" t="s">
        <v>558</v>
      </c>
      <c r="B43" s="37" t="s">
        <v>169</v>
      </c>
      <c r="C43" s="25"/>
      <c r="D43" s="18"/>
      <c r="E43" s="36" t="s">
        <v>559</v>
      </c>
      <c r="F43" s="25"/>
      <c r="G43" s="25"/>
      <c r="H43" s="25"/>
      <c r="I43" s="18"/>
    </row>
    <row r="44" spans="1:9" s="1" customFormat="1" ht="21.75" customHeight="1" x14ac:dyDescent="0.3">
      <c r="B44" s="38" t="s">
        <v>667</v>
      </c>
      <c r="C44" s="25"/>
      <c r="D44" s="18"/>
      <c r="E44" s="36" t="s">
        <v>560</v>
      </c>
      <c r="F44" s="25"/>
      <c r="G44" s="25"/>
      <c r="H44" s="25"/>
      <c r="I44" s="18"/>
    </row>
    <row r="45" spans="1:9" s="1" customFormat="1" ht="21.75" customHeight="1" x14ac:dyDescent="0.3">
      <c r="B45" s="37" t="s">
        <v>165</v>
      </c>
      <c r="C45" s="25"/>
      <c r="D45" s="18"/>
      <c r="E45" s="36" t="s">
        <v>561</v>
      </c>
      <c r="F45" s="25"/>
      <c r="G45" s="25"/>
      <c r="H45" s="25"/>
      <c r="I45" s="18"/>
    </row>
    <row r="46" spans="1:9" s="1" customFormat="1" ht="21.75" customHeight="1" x14ac:dyDescent="0.3">
      <c r="B46" s="37" t="s">
        <v>167</v>
      </c>
      <c r="C46" s="25"/>
      <c r="D46" s="18"/>
      <c r="E46" s="36" t="s">
        <v>562</v>
      </c>
      <c r="F46" s="25"/>
      <c r="G46" s="25"/>
      <c r="H46" s="25"/>
      <c r="I46" s="18"/>
    </row>
    <row r="47" spans="1:9" s="1" customFormat="1" ht="21.75" customHeight="1" x14ac:dyDescent="0.3">
      <c r="A47" s="1" t="s">
        <v>563</v>
      </c>
      <c r="B47" s="37" t="s">
        <v>169</v>
      </c>
      <c r="C47" s="25"/>
      <c r="D47" s="18"/>
      <c r="E47" s="36" t="s">
        <v>564</v>
      </c>
      <c r="F47" s="25"/>
      <c r="G47" s="25"/>
      <c r="H47" s="25"/>
      <c r="I47" s="18"/>
    </row>
    <row r="48" spans="1:9" s="1" customFormat="1" ht="21.75" customHeight="1" x14ac:dyDescent="0.3">
      <c r="B48" s="35" t="s">
        <v>176</v>
      </c>
      <c r="C48" s="25"/>
      <c r="D48" s="18"/>
      <c r="E48" s="36" t="s">
        <v>565</v>
      </c>
      <c r="F48" s="25"/>
      <c r="G48" s="25"/>
      <c r="H48" s="25"/>
      <c r="I48" s="18"/>
    </row>
    <row r="49" spans="2:9" s="1" customFormat="1" ht="21.75" customHeight="1" x14ac:dyDescent="0.3">
      <c r="B49" s="37" t="s">
        <v>165</v>
      </c>
      <c r="C49" s="25"/>
      <c r="D49" s="18"/>
      <c r="E49" s="36" t="s">
        <v>566</v>
      </c>
      <c r="F49" s="25"/>
      <c r="G49" s="25"/>
      <c r="H49" s="25"/>
      <c r="I49" s="18"/>
    </row>
    <row r="50" spans="2:9" s="1" customFormat="1" ht="21.75" customHeight="1" x14ac:dyDescent="0.3">
      <c r="B50" s="37" t="s">
        <v>167</v>
      </c>
      <c r="C50" s="25"/>
      <c r="D50" s="18"/>
      <c r="E50" s="36" t="s">
        <v>567</v>
      </c>
      <c r="F50" s="25"/>
      <c r="G50" s="25"/>
      <c r="H50" s="25"/>
      <c r="I50" s="18"/>
    </row>
    <row r="51" spans="2:9" s="1" customFormat="1" ht="21.75" customHeight="1" x14ac:dyDescent="0.3">
      <c r="B51" s="37" t="s">
        <v>169</v>
      </c>
      <c r="C51" s="25"/>
      <c r="D51" s="18"/>
      <c r="E51" s="36" t="s">
        <v>169</v>
      </c>
      <c r="F51" s="25"/>
      <c r="G51" s="25"/>
      <c r="H51" s="25"/>
      <c r="I51" s="18"/>
    </row>
    <row r="52" spans="2:9" s="1" customFormat="1" ht="21.75" customHeight="1" x14ac:dyDescent="0.3">
      <c r="B52" s="35" t="s">
        <v>181</v>
      </c>
      <c r="C52" s="25"/>
      <c r="D52" s="18"/>
      <c r="E52" s="36"/>
      <c r="F52" s="25"/>
      <c r="G52" s="25"/>
      <c r="H52" s="25"/>
      <c r="I52" s="18"/>
    </row>
    <row r="53" spans="2:9" s="1" customFormat="1" ht="21.75" customHeight="1" x14ac:dyDescent="0.3">
      <c r="B53" s="37" t="s">
        <v>165</v>
      </c>
      <c r="C53" s="25"/>
      <c r="D53" s="18"/>
      <c r="E53" s="36"/>
      <c r="F53" s="25"/>
      <c r="G53" s="25"/>
      <c r="H53" s="25"/>
      <c r="I53" s="18"/>
    </row>
    <row r="54" spans="2:9" s="1" customFormat="1" ht="21.75" customHeight="1" x14ac:dyDescent="0.3">
      <c r="B54" s="37" t="s">
        <v>167</v>
      </c>
      <c r="C54" s="25"/>
      <c r="D54" s="18"/>
      <c r="E54" s="36"/>
      <c r="F54" s="25"/>
      <c r="G54" s="25"/>
      <c r="H54" s="25"/>
      <c r="I54" s="18"/>
    </row>
    <row r="55" spans="2:9" s="1" customFormat="1" ht="21.75" customHeight="1" x14ac:dyDescent="0.3">
      <c r="B55" s="37" t="s">
        <v>169</v>
      </c>
      <c r="C55" s="25"/>
      <c r="D55" s="18"/>
      <c r="E55" s="36"/>
      <c r="F55" s="25"/>
      <c r="G55" s="25"/>
      <c r="H55" s="25"/>
      <c r="I55" s="18"/>
    </row>
    <row r="56" spans="2:9" x14ac:dyDescent="0.3">
      <c r="E56" s="36"/>
      <c r="F56" s="25"/>
      <c r="G56" s="25"/>
      <c r="H56" s="25"/>
      <c r="I56" s="18"/>
    </row>
    <row r="57" spans="2:9" s="1" customFormat="1" ht="21.75" customHeight="1" x14ac:dyDescent="0.3">
      <c r="B57" s="40" t="s">
        <v>182</v>
      </c>
      <c r="C57" s="25"/>
      <c r="D57" s="25"/>
      <c r="E57" s="25"/>
      <c r="F57" s="25"/>
      <c r="G57" s="25"/>
      <c r="H57" s="25"/>
      <c r="I57" s="18"/>
    </row>
    <row r="58" spans="2:9" s="1" customFormat="1" ht="13.5" customHeight="1" x14ac:dyDescent="0.3">
      <c r="B58" s="31" t="s">
        <v>183</v>
      </c>
      <c r="C58" s="30"/>
      <c r="D58" s="30"/>
      <c r="E58" s="30"/>
      <c r="F58" s="30"/>
      <c r="G58" s="30"/>
      <c r="H58" s="30"/>
      <c r="I58" s="30"/>
    </row>
    <row r="59" spans="2:9" s="1" customFormat="1" ht="18" customHeight="1" x14ac:dyDescent="0.3">
      <c r="B59" s="41" t="s">
        <v>184</v>
      </c>
      <c r="C59" s="25"/>
      <c r="D59" s="25"/>
      <c r="E59" s="25"/>
      <c r="F59" s="25"/>
      <c r="G59" s="25"/>
      <c r="H59" s="25"/>
      <c r="I59" s="18"/>
    </row>
    <row r="60" spans="2:9" s="1" customFormat="1" ht="18" customHeight="1" x14ac:dyDescent="0.3">
      <c r="B60" s="42" t="s">
        <v>185</v>
      </c>
      <c r="C60" s="25"/>
      <c r="D60" s="18"/>
      <c r="E60" s="43" t="s">
        <v>568</v>
      </c>
      <c r="F60" s="30"/>
      <c r="G60" s="30"/>
      <c r="H60" s="30"/>
      <c r="I60" s="30"/>
    </row>
    <row r="61" spans="2:9" s="1" customFormat="1" ht="18" customHeight="1" x14ac:dyDescent="0.3">
      <c r="B61" s="42" t="s">
        <v>187</v>
      </c>
      <c r="C61" s="25"/>
      <c r="D61" s="18"/>
      <c r="E61" s="43" t="s">
        <v>569</v>
      </c>
      <c r="F61" s="30"/>
      <c r="G61" s="30"/>
      <c r="H61" s="30"/>
      <c r="I61" s="30"/>
    </row>
    <row r="62" spans="2:9" s="1" customFormat="1" ht="18" customHeight="1" x14ac:dyDescent="0.3">
      <c r="B62" s="42" t="s">
        <v>189</v>
      </c>
      <c r="C62" s="25"/>
      <c r="D62" s="18"/>
      <c r="E62" s="43" t="s">
        <v>570</v>
      </c>
      <c r="F62" s="30"/>
      <c r="G62" s="30"/>
      <c r="H62" s="30"/>
      <c r="I62" s="30"/>
    </row>
    <row r="63" spans="2:9" s="1" customFormat="1" ht="18" customHeight="1" x14ac:dyDescent="0.3">
      <c r="B63" s="42" t="s">
        <v>191</v>
      </c>
      <c r="C63" s="25"/>
      <c r="D63" s="18"/>
      <c r="E63" s="43" t="s">
        <v>571</v>
      </c>
      <c r="F63" s="30"/>
      <c r="G63" s="30"/>
      <c r="H63" s="30"/>
      <c r="I63" s="30"/>
    </row>
    <row r="64" spans="2:9" s="1" customFormat="1" ht="18" customHeight="1" x14ac:dyDescent="0.3">
      <c r="B64" s="42" t="s">
        <v>193</v>
      </c>
      <c r="C64" s="25"/>
      <c r="D64" s="18"/>
      <c r="E64" s="43" t="s">
        <v>572</v>
      </c>
      <c r="F64" s="30"/>
      <c r="G64" s="30"/>
      <c r="H64" s="30"/>
      <c r="I64" s="30"/>
    </row>
    <row r="66" spans="2:9" s="1" customFormat="1" ht="18" customHeight="1" x14ac:dyDescent="0.3">
      <c r="B66" s="41" t="s">
        <v>195</v>
      </c>
      <c r="C66" s="25"/>
      <c r="D66" s="25"/>
      <c r="E66" s="25"/>
      <c r="F66" s="25"/>
      <c r="G66" s="25"/>
      <c r="H66" s="25"/>
      <c r="I66" s="18"/>
    </row>
    <row r="67" spans="2:9" s="1" customFormat="1" ht="18" customHeight="1" x14ac:dyDescent="0.3">
      <c r="B67" s="42" t="s">
        <v>185</v>
      </c>
      <c r="C67" s="25"/>
      <c r="D67" s="18"/>
      <c r="E67" s="43" t="s">
        <v>573</v>
      </c>
      <c r="F67" s="30"/>
      <c r="G67" s="30"/>
      <c r="H67" s="30"/>
      <c r="I67" s="30"/>
    </row>
    <row r="68" spans="2:9" s="1" customFormat="1" ht="18" customHeight="1" x14ac:dyDescent="0.3">
      <c r="B68" s="42" t="s">
        <v>187</v>
      </c>
      <c r="C68" s="25"/>
      <c r="D68" s="18"/>
      <c r="E68" s="43" t="s">
        <v>574</v>
      </c>
      <c r="F68" s="30"/>
      <c r="G68" s="30"/>
      <c r="H68" s="30"/>
      <c r="I68" s="30"/>
    </row>
    <row r="69" spans="2:9" s="1" customFormat="1" ht="18" customHeight="1" x14ac:dyDescent="0.3">
      <c r="B69" s="42" t="s">
        <v>189</v>
      </c>
      <c r="C69" s="25"/>
      <c r="D69" s="18"/>
      <c r="E69" s="43" t="s">
        <v>575</v>
      </c>
      <c r="F69" s="30"/>
      <c r="G69" s="30"/>
      <c r="H69" s="30"/>
      <c r="I69" s="30"/>
    </row>
    <row r="70" spans="2:9" s="1" customFormat="1" ht="18" customHeight="1" x14ac:dyDescent="0.3">
      <c r="B70" s="42" t="s">
        <v>191</v>
      </c>
      <c r="C70" s="25"/>
      <c r="D70" s="18"/>
      <c r="E70" s="43" t="s">
        <v>576</v>
      </c>
      <c r="F70" s="30"/>
      <c r="G70" s="30"/>
      <c r="H70" s="30"/>
      <c r="I70" s="30"/>
    </row>
    <row r="71" spans="2:9" s="1" customFormat="1" ht="18" customHeight="1" x14ac:dyDescent="0.3">
      <c r="B71" s="42" t="s">
        <v>193</v>
      </c>
      <c r="C71" s="25"/>
      <c r="D71" s="18"/>
      <c r="E71" s="43" t="s">
        <v>577</v>
      </c>
      <c r="F71" s="30"/>
      <c r="G71" s="30"/>
      <c r="H71" s="30"/>
      <c r="I71" s="30"/>
    </row>
    <row r="73" spans="2:9" s="1" customFormat="1" ht="18" customHeight="1" x14ac:dyDescent="0.3">
      <c r="B73" s="41" t="s">
        <v>201</v>
      </c>
      <c r="C73" s="25"/>
      <c r="D73" s="25"/>
      <c r="E73" s="25"/>
      <c r="F73" s="25"/>
      <c r="G73" s="25"/>
      <c r="H73" s="25"/>
      <c r="I73" s="18"/>
    </row>
    <row r="74" spans="2:9" s="1" customFormat="1" ht="18" customHeight="1" x14ac:dyDescent="0.3">
      <c r="B74" s="42" t="s">
        <v>185</v>
      </c>
      <c r="C74" s="25"/>
      <c r="D74" s="18"/>
      <c r="E74" s="37" t="s">
        <v>578</v>
      </c>
      <c r="F74" s="25"/>
      <c r="G74" s="25"/>
      <c r="H74" s="25"/>
      <c r="I74" s="18"/>
    </row>
    <row r="75" spans="2:9" s="1" customFormat="1" ht="18" customHeight="1" x14ac:dyDescent="0.3">
      <c r="B75" s="42" t="s">
        <v>187</v>
      </c>
      <c r="C75" s="25"/>
      <c r="D75" s="18"/>
      <c r="E75" s="37" t="s">
        <v>579</v>
      </c>
      <c r="F75" s="25"/>
      <c r="G75" s="25"/>
      <c r="H75" s="25"/>
      <c r="I75" s="18"/>
    </row>
    <row r="76" spans="2:9" s="1" customFormat="1" ht="18" customHeight="1" x14ac:dyDescent="0.3">
      <c r="B76" s="42" t="s">
        <v>189</v>
      </c>
      <c r="C76" s="25"/>
      <c r="D76" s="18"/>
      <c r="E76" s="37" t="s">
        <v>580</v>
      </c>
      <c r="F76" s="25"/>
      <c r="G76" s="25"/>
      <c r="H76" s="25"/>
      <c r="I76" s="18"/>
    </row>
    <row r="77" spans="2:9" s="1" customFormat="1" ht="18" customHeight="1" x14ac:dyDescent="0.3">
      <c r="B77" s="42" t="s">
        <v>191</v>
      </c>
      <c r="C77" s="25"/>
      <c r="D77" s="18"/>
      <c r="E77" s="37" t="s">
        <v>581</v>
      </c>
      <c r="F77" s="25"/>
      <c r="G77" s="25"/>
      <c r="H77" s="25"/>
      <c r="I77" s="18"/>
    </row>
    <row r="78" spans="2:9" s="1" customFormat="1" ht="18" customHeight="1" x14ac:dyDescent="0.3">
      <c r="B78" s="42" t="s">
        <v>193</v>
      </c>
      <c r="C78" s="25"/>
      <c r="D78" s="18"/>
      <c r="E78" s="37" t="s">
        <v>582</v>
      </c>
      <c r="F78" s="25"/>
      <c r="G78" s="25"/>
      <c r="H78" s="25"/>
      <c r="I78" s="18"/>
    </row>
    <row r="80" spans="2:9" s="1" customFormat="1" ht="18" customHeight="1" x14ac:dyDescent="0.3">
      <c r="B80" s="41" t="s">
        <v>207</v>
      </c>
      <c r="C80" s="25"/>
      <c r="D80" s="25"/>
      <c r="E80" s="25"/>
      <c r="F80" s="25"/>
      <c r="G80" s="25"/>
      <c r="H80" s="25"/>
      <c r="I80" s="18"/>
    </row>
    <row r="81" spans="2:9" s="1" customFormat="1" ht="18" customHeight="1" x14ac:dyDescent="0.3">
      <c r="B81" s="42" t="s">
        <v>185</v>
      </c>
      <c r="C81" s="25"/>
      <c r="D81" s="18"/>
      <c r="E81" s="37" t="s">
        <v>208</v>
      </c>
      <c r="F81" s="25"/>
      <c r="G81" s="25"/>
      <c r="H81" s="25"/>
      <c r="I81" s="18"/>
    </row>
    <row r="82" spans="2:9" s="1" customFormat="1" ht="18" customHeight="1" x14ac:dyDescent="0.3">
      <c r="B82" s="42" t="s">
        <v>187</v>
      </c>
      <c r="C82" s="25"/>
      <c r="D82" s="18"/>
      <c r="E82" s="37" t="s">
        <v>209</v>
      </c>
      <c r="F82" s="25"/>
      <c r="G82" s="25"/>
      <c r="H82" s="25"/>
      <c r="I82" s="18"/>
    </row>
    <row r="83" spans="2:9" s="1" customFormat="1" ht="18" customHeight="1" x14ac:dyDescent="0.3">
      <c r="B83" s="42" t="s">
        <v>189</v>
      </c>
      <c r="C83" s="25"/>
      <c r="D83" s="18"/>
      <c r="E83" s="37" t="s">
        <v>210</v>
      </c>
      <c r="F83" s="25"/>
      <c r="G83" s="25"/>
      <c r="H83" s="25"/>
      <c r="I83" s="18"/>
    </row>
    <row r="84" spans="2:9" s="1" customFormat="1" ht="18" customHeight="1" x14ac:dyDescent="0.3">
      <c r="B84" s="42" t="s">
        <v>191</v>
      </c>
      <c r="C84" s="25"/>
      <c r="D84" s="18"/>
      <c r="E84" s="37" t="s">
        <v>211</v>
      </c>
      <c r="F84" s="25"/>
      <c r="G84" s="25"/>
      <c r="H84" s="25"/>
      <c r="I84" s="18"/>
    </row>
    <row r="85" spans="2:9" s="1" customFormat="1" ht="18" customHeight="1" x14ac:dyDescent="0.3">
      <c r="B85" s="42" t="s">
        <v>193</v>
      </c>
      <c r="C85" s="25"/>
      <c r="D85" s="18"/>
      <c r="E85" s="37" t="s">
        <v>212</v>
      </c>
      <c r="F85" s="25"/>
      <c r="G85" s="25"/>
      <c r="H85" s="25"/>
      <c r="I85" s="18"/>
    </row>
    <row r="87" spans="2:9" s="1" customFormat="1" ht="18" customHeight="1" x14ac:dyDescent="0.3">
      <c r="B87" s="41" t="s">
        <v>213</v>
      </c>
      <c r="C87" s="25"/>
      <c r="D87" s="25"/>
      <c r="E87" s="25"/>
      <c r="F87" s="25"/>
      <c r="G87" s="25"/>
      <c r="H87" s="25"/>
      <c r="I87" s="18"/>
    </row>
    <row r="88" spans="2:9" s="1" customFormat="1" ht="18" customHeight="1" x14ac:dyDescent="0.3">
      <c r="B88" s="42" t="s">
        <v>185</v>
      </c>
      <c r="C88" s="25"/>
      <c r="D88" s="18"/>
      <c r="E88" s="37" t="s">
        <v>208</v>
      </c>
      <c r="F88" s="25"/>
      <c r="G88" s="25"/>
      <c r="H88" s="25"/>
      <c r="I88" s="18"/>
    </row>
    <row r="89" spans="2:9" s="1" customFormat="1" ht="18" customHeight="1" x14ac:dyDescent="0.3">
      <c r="B89" s="42" t="s">
        <v>187</v>
      </c>
      <c r="C89" s="25"/>
      <c r="D89" s="18"/>
      <c r="E89" s="37" t="s">
        <v>209</v>
      </c>
      <c r="F89" s="25"/>
      <c r="G89" s="25"/>
      <c r="H89" s="25"/>
      <c r="I89" s="18"/>
    </row>
    <row r="90" spans="2:9" s="1" customFormat="1" ht="18" customHeight="1" x14ac:dyDescent="0.3">
      <c r="B90" s="42" t="s">
        <v>189</v>
      </c>
      <c r="C90" s="25"/>
      <c r="D90" s="18"/>
      <c r="E90" s="37" t="s">
        <v>210</v>
      </c>
      <c r="F90" s="25"/>
      <c r="G90" s="25"/>
      <c r="H90" s="25"/>
      <c r="I90" s="18"/>
    </row>
    <row r="91" spans="2:9" s="1" customFormat="1" ht="18" customHeight="1" x14ac:dyDescent="0.3">
      <c r="B91" s="42" t="s">
        <v>191</v>
      </c>
      <c r="C91" s="25"/>
      <c r="D91" s="18"/>
      <c r="E91" s="37" t="s">
        <v>211</v>
      </c>
      <c r="F91" s="25"/>
      <c r="G91" s="25"/>
      <c r="H91" s="25"/>
      <c r="I91" s="18"/>
    </row>
    <row r="92" spans="2:9" s="1" customFormat="1" ht="18" customHeight="1" x14ac:dyDescent="0.3">
      <c r="B92" s="42" t="s">
        <v>193</v>
      </c>
      <c r="C92" s="25"/>
      <c r="D92" s="18"/>
      <c r="E92" s="37" t="s">
        <v>212</v>
      </c>
      <c r="F92" s="25"/>
      <c r="G92" s="25"/>
      <c r="H92" s="25"/>
      <c r="I92" s="18"/>
    </row>
    <row r="94" spans="2:9" s="1" customFormat="1" ht="15.75" customHeight="1" x14ac:dyDescent="0.3">
      <c r="B94" s="45" t="s">
        <v>583</v>
      </c>
      <c r="C94" s="25"/>
      <c r="D94" s="25"/>
      <c r="E94" s="25"/>
      <c r="F94" s="25"/>
      <c r="G94" s="25"/>
      <c r="H94" s="25"/>
      <c r="I94" s="18"/>
    </row>
  </sheetData>
  <mergeCells count="106">
    <mergeCell ref="B92:D92"/>
    <mergeCell ref="E92:I92"/>
    <mergeCell ref="B94:I94"/>
    <mergeCell ref="B87:I87"/>
    <mergeCell ref="B88:D88"/>
    <mergeCell ref="E88:I88"/>
    <mergeCell ref="B89:D89"/>
    <mergeCell ref="E89:I89"/>
    <mergeCell ref="B90:D90"/>
    <mergeCell ref="E90:I90"/>
    <mergeCell ref="B91:D91"/>
    <mergeCell ref="E91:I91"/>
    <mergeCell ref="B81:D81"/>
    <mergeCell ref="E81:I81"/>
    <mergeCell ref="B82:D82"/>
    <mergeCell ref="E82:I82"/>
    <mergeCell ref="B83:D83"/>
    <mergeCell ref="E83:I83"/>
    <mergeCell ref="B84:D84"/>
    <mergeCell ref="E84:I84"/>
    <mergeCell ref="B85:D85"/>
    <mergeCell ref="E85:I85"/>
    <mergeCell ref="B75:D75"/>
    <mergeCell ref="E75:I75"/>
    <mergeCell ref="B76:D76"/>
    <mergeCell ref="E76:I76"/>
    <mergeCell ref="B77:D77"/>
    <mergeCell ref="E77:I77"/>
    <mergeCell ref="B78:D78"/>
    <mergeCell ref="E78:I78"/>
    <mergeCell ref="B80:I80"/>
    <mergeCell ref="B69:D69"/>
    <mergeCell ref="E69:I69"/>
    <mergeCell ref="B70:D70"/>
    <mergeCell ref="E70:I70"/>
    <mergeCell ref="B71:D71"/>
    <mergeCell ref="E71:I71"/>
    <mergeCell ref="B73:I73"/>
    <mergeCell ref="B74:D74"/>
    <mergeCell ref="E74:I74"/>
    <mergeCell ref="B63:D63"/>
    <mergeCell ref="E63:I63"/>
    <mergeCell ref="B64:D64"/>
    <mergeCell ref="E64:I64"/>
    <mergeCell ref="B66:I66"/>
    <mergeCell ref="B67:D67"/>
    <mergeCell ref="E67:I67"/>
    <mergeCell ref="B68:D68"/>
    <mergeCell ref="E68:I68"/>
    <mergeCell ref="B57:I57"/>
    <mergeCell ref="B58:I58"/>
    <mergeCell ref="B59:I59"/>
    <mergeCell ref="B60:D60"/>
    <mergeCell ref="E60:I60"/>
    <mergeCell ref="B61:D61"/>
    <mergeCell ref="E61:I61"/>
    <mergeCell ref="B62:D62"/>
    <mergeCell ref="E62:I62"/>
    <mergeCell ref="B52:D52"/>
    <mergeCell ref="E52:I52"/>
    <mergeCell ref="B53:D53"/>
    <mergeCell ref="E53:I53"/>
    <mergeCell ref="B54:D54"/>
    <mergeCell ref="E54:I54"/>
    <mergeCell ref="B55:D55"/>
    <mergeCell ref="E55:I55"/>
    <mergeCell ref="E56:I56"/>
    <mergeCell ref="B47:D47"/>
    <mergeCell ref="E47:I47"/>
    <mergeCell ref="B48:D48"/>
    <mergeCell ref="E48:I48"/>
    <mergeCell ref="B49:D49"/>
    <mergeCell ref="E49:I49"/>
    <mergeCell ref="B50:D50"/>
    <mergeCell ref="E50:I50"/>
    <mergeCell ref="B51:D51"/>
    <mergeCell ref="E51:I51"/>
    <mergeCell ref="B42:D42"/>
    <mergeCell ref="E42:I42"/>
    <mergeCell ref="B43:D43"/>
    <mergeCell ref="E43:I43"/>
    <mergeCell ref="B44:D44"/>
    <mergeCell ref="E44:I44"/>
    <mergeCell ref="B45:D45"/>
    <mergeCell ref="E45:I45"/>
    <mergeCell ref="B46:D46"/>
    <mergeCell ref="E46:I46"/>
    <mergeCell ref="B24:I24"/>
    <mergeCell ref="B28:I28"/>
    <mergeCell ref="B32:I32"/>
    <mergeCell ref="B37:I37"/>
    <mergeCell ref="B38:I38"/>
    <mergeCell ref="E39:I39"/>
    <mergeCell ref="B40:D40"/>
    <mergeCell ref="E40:I40"/>
    <mergeCell ref="B41:D41"/>
    <mergeCell ref="E41:I41"/>
    <mergeCell ref="B2:I2"/>
    <mergeCell ref="B3:I3"/>
    <mergeCell ref="B5:I5"/>
    <mergeCell ref="B6:I6"/>
    <mergeCell ref="B17:I17"/>
    <mergeCell ref="B18:I18"/>
    <mergeCell ref="D19:F19"/>
    <mergeCell ref="G19:H19"/>
    <mergeCell ref="B20:I20"/>
  </mergeCells>
  <pageMargins left="0.75" right="0.75" top="1" bottom="1" header="0.511811023622047" footer="0.511811023622047"/>
  <pageSetup paperSize="9" orientation="portrait" useFirstPageNumber="1"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94"/>
  <sheetViews>
    <sheetView showGridLines="0" topLeftCell="A47" zoomScaleNormal="100" workbookViewId="0">
      <selection activeCell="B40" sqref="B40:D51"/>
    </sheetView>
  </sheetViews>
  <sheetFormatPr defaultColWidth="8.5546875" defaultRowHeight="14.4" customHeight="1" x14ac:dyDescent="0.3"/>
  <cols>
    <col min="1" max="1" width="3" style="1" customWidth="1"/>
    <col min="2" max="2" width="12" style="1" customWidth="1"/>
    <col min="3" max="3" width="6" style="1" customWidth="1"/>
    <col min="4" max="4" width="12.6640625" style="1" customWidth="1"/>
    <col min="5" max="5" width="32" style="1" customWidth="1"/>
    <col min="6" max="6" width="20" style="1" customWidth="1"/>
    <col min="7" max="7" width="12" style="1" customWidth="1"/>
    <col min="8" max="8" width="28" style="1" customWidth="1"/>
    <col min="9" max="9" width="22" style="1" customWidth="1"/>
  </cols>
  <sheetData>
    <row r="1" spans="2:9" s="1" customFormat="1" ht="13.5" customHeight="1" x14ac:dyDescent="0.3"/>
    <row r="2" spans="2:9" s="1" customFormat="1" ht="33.75" customHeight="1" x14ac:dyDescent="0.3">
      <c r="B2" s="28" t="s">
        <v>79</v>
      </c>
      <c r="C2" s="25"/>
      <c r="D2" s="25"/>
      <c r="E2" s="25"/>
      <c r="F2" s="25"/>
      <c r="G2" s="25"/>
      <c r="H2" s="25"/>
      <c r="I2" s="18"/>
    </row>
    <row r="3" spans="2:9" s="1" customFormat="1" ht="15.75" customHeight="1" x14ac:dyDescent="0.3">
      <c r="B3" s="29" t="s">
        <v>80</v>
      </c>
      <c r="C3" s="30"/>
      <c r="D3" s="30"/>
      <c r="E3" s="30"/>
      <c r="F3" s="30"/>
      <c r="G3" s="30"/>
      <c r="H3" s="30"/>
      <c r="I3" s="30"/>
    </row>
    <row r="5" spans="2:9" s="1" customFormat="1" ht="21.75" customHeight="1" x14ac:dyDescent="0.3">
      <c r="B5" s="21" t="s">
        <v>81</v>
      </c>
      <c r="C5" s="25"/>
      <c r="D5" s="25"/>
      <c r="E5" s="25"/>
      <c r="F5" s="25"/>
      <c r="G5" s="25"/>
      <c r="H5" s="25"/>
      <c r="I5" s="18"/>
    </row>
    <row r="6" spans="2:9" s="1" customFormat="1" ht="13.5" customHeight="1" x14ac:dyDescent="0.3">
      <c r="B6" s="31" t="s">
        <v>82</v>
      </c>
      <c r="C6" s="30"/>
      <c r="D6" s="30"/>
      <c r="E6" s="30"/>
      <c r="F6" s="30"/>
      <c r="G6" s="30"/>
      <c r="H6" s="30"/>
      <c r="I6" s="30"/>
    </row>
    <row r="7" spans="2:9" s="1" customFormat="1" ht="19.5" customHeight="1" x14ac:dyDescent="0.3">
      <c r="B7" s="4" t="s">
        <v>83</v>
      </c>
      <c r="C7" s="4" t="s">
        <v>84</v>
      </c>
      <c r="D7" s="4" t="s">
        <v>85</v>
      </c>
      <c r="E7" s="4" t="s">
        <v>86</v>
      </c>
      <c r="F7" s="4" t="s">
        <v>87</v>
      </c>
      <c r="G7" s="4" t="s">
        <v>88</v>
      </c>
      <c r="H7" s="4" t="s">
        <v>89</v>
      </c>
      <c r="I7" s="4" t="s">
        <v>90</v>
      </c>
    </row>
    <row r="8" spans="2:9" s="1" customFormat="1" ht="18" customHeight="1" x14ac:dyDescent="0.3">
      <c r="B8" s="2" t="s">
        <v>584</v>
      </c>
      <c r="C8" s="2" t="s">
        <v>52</v>
      </c>
      <c r="D8" s="2" t="s">
        <v>92</v>
      </c>
      <c r="E8" s="2" t="s">
        <v>585</v>
      </c>
      <c r="F8" s="2" t="s">
        <v>586</v>
      </c>
      <c r="G8" s="2" t="s">
        <v>95</v>
      </c>
      <c r="H8" s="2" t="s">
        <v>587</v>
      </c>
      <c r="I8" s="2" t="s">
        <v>588</v>
      </c>
    </row>
    <row r="9" spans="2:9" s="1" customFormat="1" ht="18" customHeight="1" x14ac:dyDescent="0.3">
      <c r="B9" s="2" t="s">
        <v>584</v>
      </c>
      <c r="C9" s="2" t="s">
        <v>57</v>
      </c>
      <c r="D9" s="2" t="s">
        <v>92</v>
      </c>
      <c r="E9" s="2" t="s">
        <v>589</v>
      </c>
      <c r="F9" s="2" t="s">
        <v>362</v>
      </c>
      <c r="G9" s="2" t="s">
        <v>100</v>
      </c>
      <c r="H9" s="2" t="s">
        <v>590</v>
      </c>
      <c r="I9" s="2" t="s">
        <v>591</v>
      </c>
    </row>
    <row r="10" spans="2:9" s="1" customFormat="1" ht="18" customHeight="1" x14ac:dyDescent="0.3">
      <c r="B10" s="2" t="s">
        <v>584</v>
      </c>
      <c r="C10" s="2" t="s">
        <v>62</v>
      </c>
      <c r="D10" s="2" t="s">
        <v>92</v>
      </c>
      <c r="E10" s="2" t="s">
        <v>592</v>
      </c>
      <c r="F10" s="2" t="s">
        <v>593</v>
      </c>
      <c r="G10" s="2" t="s">
        <v>100</v>
      </c>
      <c r="H10" s="2" t="s">
        <v>594</v>
      </c>
      <c r="I10" s="2" t="s">
        <v>595</v>
      </c>
    </row>
    <row r="11" spans="2:9" s="1" customFormat="1" ht="18" customHeight="1" x14ac:dyDescent="0.3">
      <c r="B11" s="2"/>
      <c r="C11" s="2"/>
      <c r="D11" s="2"/>
      <c r="E11" s="2"/>
      <c r="F11" s="2"/>
      <c r="G11" s="2"/>
      <c r="H11" s="2"/>
      <c r="I11" s="2"/>
    </row>
    <row r="12" spans="2:9" s="1" customFormat="1" ht="18" customHeight="1" x14ac:dyDescent="0.3">
      <c r="B12" s="2"/>
      <c r="C12" s="2"/>
      <c r="D12" s="2"/>
      <c r="E12" s="2"/>
      <c r="F12" s="2"/>
      <c r="G12" s="2"/>
      <c r="H12" s="2"/>
      <c r="I12" s="2"/>
    </row>
    <row r="13" spans="2:9" s="1" customFormat="1" ht="18" customHeight="1" x14ac:dyDescent="0.3">
      <c r="B13" s="2"/>
      <c r="C13" s="2"/>
      <c r="D13" s="2"/>
      <c r="E13" s="2"/>
      <c r="F13" s="2"/>
      <c r="G13" s="2"/>
      <c r="H13" s="2"/>
      <c r="I13" s="2"/>
    </row>
    <row r="14" spans="2:9" s="1" customFormat="1" ht="18" customHeight="1" x14ac:dyDescent="0.3">
      <c r="B14" s="2"/>
      <c r="C14" s="2"/>
      <c r="D14" s="2"/>
      <c r="E14" s="2"/>
      <c r="F14" s="2"/>
      <c r="G14" s="2"/>
      <c r="H14" s="2"/>
      <c r="I14" s="2"/>
    </row>
    <row r="15" spans="2:9" s="1" customFormat="1" ht="18" customHeight="1" x14ac:dyDescent="0.3">
      <c r="B15" s="2"/>
      <c r="C15" s="2"/>
      <c r="D15" s="2"/>
      <c r="E15" s="2"/>
      <c r="F15" s="2"/>
      <c r="G15" s="2"/>
      <c r="H15" s="2"/>
      <c r="I15" s="2"/>
    </row>
    <row r="17" spans="2:9" s="1" customFormat="1" ht="21.75" customHeight="1" x14ac:dyDescent="0.3">
      <c r="B17" s="23" t="s">
        <v>130</v>
      </c>
      <c r="C17" s="25"/>
      <c r="D17" s="25"/>
      <c r="E17" s="25"/>
      <c r="F17" s="25"/>
      <c r="G17" s="25"/>
      <c r="H17" s="25"/>
      <c r="I17" s="18"/>
    </row>
    <row r="18" spans="2:9" s="1" customFormat="1" ht="13.5" customHeight="1" x14ac:dyDescent="0.3">
      <c r="B18" s="31" t="s">
        <v>31</v>
      </c>
      <c r="C18" s="30"/>
      <c r="D18" s="30"/>
      <c r="E18" s="30"/>
      <c r="F18" s="30"/>
      <c r="G18" s="30"/>
      <c r="H18" s="30"/>
      <c r="I18" s="30"/>
    </row>
    <row r="19" spans="2:9" s="1" customFormat="1" ht="19.5" customHeight="1" x14ac:dyDescent="0.3">
      <c r="B19" s="11" t="s">
        <v>131</v>
      </c>
      <c r="C19" s="11" t="s">
        <v>84</v>
      </c>
      <c r="D19" s="32" t="s">
        <v>132</v>
      </c>
      <c r="E19" s="25"/>
      <c r="F19" s="18"/>
      <c r="G19" s="32" t="s">
        <v>133</v>
      </c>
      <c r="H19" s="18"/>
      <c r="I19" s="11" t="s">
        <v>51</v>
      </c>
    </row>
    <row r="20" spans="2:9" s="1" customFormat="1" ht="15.75" customHeight="1" x14ac:dyDescent="0.3">
      <c r="B20" s="33" t="s">
        <v>134</v>
      </c>
      <c r="C20" s="25"/>
      <c r="D20" s="25"/>
      <c r="E20" s="25"/>
      <c r="F20" s="25"/>
      <c r="G20" s="25"/>
      <c r="H20" s="25"/>
      <c r="I20" s="18"/>
    </row>
    <row r="21" spans="2:9" s="1" customFormat="1" ht="18" customHeight="1" x14ac:dyDescent="0.3">
      <c r="B21" s="2"/>
      <c r="C21" s="2" t="s">
        <v>52</v>
      </c>
      <c r="D21" s="2"/>
      <c r="E21" s="2" t="s">
        <v>596</v>
      </c>
      <c r="F21" s="2"/>
      <c r="G21" s="2" t="s">
        <v>586</v>
      </c>
      <c r="H21" s="2"/>
      <c r="I21" s="2" t="s">
        <v>597</v>
      </c>
    </row>
    <row r="22" spans="2:9" s="1" customFormat="1" ht="18" customHeight="1" x14ac:dyDescent="0.3">
      <c r="B22" s="2"/>
      <c r="C22" s="2" t="s">
        <v>57</v>
      </c>
      <c r="D22" s="2"/>
      <c r="E22" s="2" t="s">
        <v>598</v>
      </c>
      <c r="F22" s="2"/>
      <c r="G22" s="2" t="s">
        <v>362</v>
      </c>
      <c r="H22" s="2"/>
      <c r="I22" s="2" t="s">
        <v>599</v>
      </c>
    </row>
    <row r="23" spans="2:9" s="1" customFormat="1" ht="18" customHeight="1" x14ac:dyDescent="0.3">
      <c r="B23" s="2"/>
      <c r="C23" s="2" t="s">
        <v>62</v>
      </c>
      <c r="D23" s="2"/>
      <c r="E23" s="2" t="s">
        <v>600</v>
      </c>
      <c r="F23" s="2"/>
      <c r="G23" s="2" t="s">
        <v>593</v>
      </c>
      <c r="H23" s="2"/>
      <c r="I23" s="2" t="s">
        <v>601</v>
      </c>
    </row>
    <row r="24" spans="2:9" s="1" customFormat="1" ht="15.75" customHeight="1" x14ac:dyDescent="0.3">
      <c r="B24" s="33" t="s">
        <v>144</v>
      </c>
      <c r="C24" s="25"/>
      <c r="D24" s="25"/>
      <c r="E24" s="25"/>
      <c r="F24" s="25"/>
      <c r="G24" s="25"/>
      <c r="H24" s="25"/>
      <c r="I24" s="18"/>
    </row>
    <row r="25" spans="2:9" s="1" customFormat="1" ht="18" customHeight="1" x14ac:dyDescent="0.3">
      <c r="B25" s="2"/>
      <c r="C25" s="2" t="s">
        <v>52</v>
      </c>
      <c r="D25" s="2"/>
      <c r="E25" s="2" t="s">
        <v>602</v>
      </c>
      <c r="F25" s="2"/>
      <c r="G25" s="2" t="s">
        <v>217</v>
      </c>
      <c r="H25" s="2"/>
      <c r="I25" s="2" t="s">
        <v>603</v>
      </c>
    </row>
    <row r="26" spans="2:9" s="1" customFormat="1" ht="18" customHeight="1" x14ac:dyDescent="0.3">
      <c r="B26" s="2"/>
      <c r="C26" s="2" t="s">
        <v>57</v>
      </c>
      <c r="D26" s="2"/>
      <c r="E26" s="2" t="s">
        <v>604</v>
      </c>
      <c r="F26" s="2"/>
      <c r="G26" s="2" t="s">
        <v>217</v>
      </c>
      <c r="H26" s="2"/>
      <c r="I26" s="2" t="s">
        <v>605</v>
      </c>
    </row>
    <row r="27" spans="2:9" s="1" customFormat="1" ht="18" customHeight="1" x14ac:dyDescent="0.3">
      <c r="B27" s="2"/>
      <c r="C27" s="2" t="s">
        <v>62</v>
      </c>
      <c r="D27" s="2"/>
      <c r="E27" s="2" t="s">
        <v>606</v>
      </c>
      <c r="F27" s="2"/>
      <c r="G27" s="2" t="s">
        <v>490</v>
      </c>
      <c r="H27" s="2"/>
      <c r="I27" s="2" t="s">
        <v>607</v>
      </c>
    </row>
    <row r="28" spans="2:9" s="1" customFormat="1" ht="15.75" customHeight="1" x14ac:dyDescent="0.3">
      <c r="B28" s="33" t="s">
        <v>154</v>
      </c>
      <c r="C28" s="25"/>
      <c r="D28" s="25"/>
      <c r="E28" s="25"/>
      <c r="F28" s="25"/>
      <c r="G28" s="25"/>
      <c r="H28" s="25"/>
      <c r="I28" s="18"/>
    </row>
    <row r="29" spans="2:9" s="1" customFormat="1" ht="18" customHeight="1" x14ac:dyDescent="0.3">
      <c r="B29" s="2"/>
      <c r="C29" s="2" t="s">
        <v>52</v>
      </c>
      <c r="D29" s="2"/>
      <c r="E29" s="2" t="s">
        <v>608</v>
      </c>
      <c r="F29" s="2"/>
      <c r="G29" s="2" t="s">
        <v>593</v>
      </c>
      <c r="H29" s="2"/>
      <c r="I29" s="2" t="s">
        <v>609</v>
      </c>
    </row>
    <row r="30" spans="2:9" s="1" customFormat="1" ht="18" customHeight="1" x14ac:dyDescent="0.3">
      <c r="B30" s="2"/>
      <c r="C30" s="2" t="s">
        <v>57</v>
      </c>
      <c r="D30" s="2"/>
      <c r="E30" s="2" t="s">
        <v>610</v>
      </c>
      <c r="F30" s="2"/>
      <c r="G30" s="2" t="s">
        <v>611</v>
      </c>
      <c r="H30" s="2"/>
      <c r="I30" s="2" t="s">
        <v>612</v>
      </c>
    </row>
    <row r="31" spans="2:9" s="1" customFormat="1" ht="18" customHeight="1" x14ac:dyDescent="0.3">
      <c r="B31" s="2"/>
      <c r="C31" s="2" t="s">
        <v>62</v>
      </c>
      <c r="D31" s="2"/>
      <c r="E31" s="2" t="s">
        <v>613</v>
      </c>
      <c r="F31" s="2"/>
      <c r="G31" s="2" t="s">
        <v>593</v>
      </c>
      <c r="H31" s="2"/>
      <c r="I31" s="2" t="s">
        <v>614</v>
      </c>
    </row>
    <row r="32" spans="2:9" s="1" customFormat="1" ht="15.75" customHeight="1" x14ac:dyDescent="0.3">
      <c r="B32" s="33" t="s">
        <v>156</v>
      </c>
      <c r="C32" s="25"/>
      <c r="D32" s="25"/>
      <c r="E32" s="25"/>
      <c r="F32" s="25"/>
      <c r="G32" s="25"/>
      <c r="H32" s="25"/>
      <c r="I32" s="18"/>
    </row>
    <row r="33" spans="1:9" s="1" customFormat="1" ht="18" customHeight="1" x14ac:dyDescent="0.3">
      <c r="B33" s="2"/>
      <c r="C33" s="2"/>
      <c r="D33" s="2"/>
      <c r="E33" s="2"/>
      <c r="F33" s="2"/>
      <c r="G33" s="2"/>
      <c r="H33" s="2"/>
      <c r="I33" s="2"/>
    </row>
    <row r="34" spans="1:9" s="1" customFormat="1" ht="18" customHeight="1" x14ac:dyDescent="0.3">
      <c r="B34" s="2"/>
      <c r="C34" s="2"/>
      <c r="D34" s="2"/>
      <c r="E34" s="2"/>
      <c r="F34" s="2"/>
      <c r="G34" s="2"/>
      <c r="H34" s="2"/>
      <c r="I34" s="2"/>
    </row>
    <row r="35" spans="1:9" s="1" customFormat="1" ht="18" customHeight="1" x14ac:dyDescent="0.3">
      <c r="B35" s="2"/>
      <c r="C35" s="2"/>
      <c r="D35" s="2"/>
      <c r="E35" s="2"/>
      <c r="F35" s="2"/>
      <c r="G35" s="2"/>
      <c r="H35" s="2"/>
      <c r="I35" s="2"/>
    </row>
    <row r="37" spans="1:9" s="1" customFormat="1" ht="21.75" customHeight="1" x14ac:dyDescent="0.3">
      <c r="B37" s="22" t="s">
        <v>157</v>
      </c>
      <c r="C37" s="25"/>
      <c r="D37" s="25"/>
      <c r="E37" s="25"/>
      <c r="F37" s="25"/>
      <c r="G37" s="25"/>
      <c r="H37" s="25"/>
      <c r="I37" s="18"/>
    </row>
    <row r="38" spans="1:9" s="1" customFormat="1" ht="13.5" customHeight="1" x14ac:dyDescent="0.3">
      <c r="B38" s="31" t="s">
        <v>158</v>
      </c>
      <c r="C38" s="30"/>
      <c r="D38" s="30"/>
      <c r="E38" s="30"/>
      <c r="F38" s="30"/>
      <c r="G38" s="30"/>
      <c r="H38" s="30"/>
      <c r="I38" s="30"/>
    </row>
    <row r="39" spans="1:9" s="1" customFormat="1" ht="19.5" customHeight="1" x14ac:dyDescent="0.3">
      <c r="A39" s="1" t="s">
        <v>163</v>
      </c>
      <c r="B39" s="12" t="s">
        <v>159</v>
      </c>
      <c r="C39" s="12" t="s">
        <v>160</v>
      </c>
      <c r="D39" s="12" t="s">
        <v>615</v>
      </c>
      <c r="E39" s="34" t="s">
        <v>162</v>
      </c>
      <c r="F39" s="25"/>
      <c r="G39" s="25"/>
      <c r="H39" s="25"/>
      <c r="I39" s="18"/>
    </row>
    <row r="40" spans="1:9" s="1" customFormat="1" ht="21.75" customHeight="1" x14ac:dyDescent="0.3">
      <c r="B40" s="35" t="s">
        <v>163</v>
      </c>
      <c r="C40" s="25"/>
      <c r="D40" s="18"/>
      <c r="E40" s="36" t="s">
        <v>615</v>
      </c>
      <c r="F40" s="25"/>
      <c r="G40" s="25"/>
      <c r="H40" s="25"/>
      <c r="I40" s="18"/>
    </row>
    <row r="41" spans="1:9" s="1" customFormat="1" ht="21.75" customHeight="1" x14ac:dyDescent="0.3">
      <c r="B41" s="37" t="s">
        <v>165</v>
      </c>
      <c r="C41" s="25"/>
      <c r="D41" s="18"/>
      <c r="E41" s="36" t="s">
        <v>616</v>
      </c>
      <c r="F41" s="25"/>
      <c r="G41" s="25"/>
      <c r="H41" s="25"/>
      <c r="I41" s="18"/>
    </row>
    <row r="42" spans="1:9" s="1" customFormat="1" ht="21.75" customHeight="1" x14ac:dyDescent="0.3">
      <c r="B42" s="37" t="s">
        <v>167</v>
      </c>
      <c r="C42" s="25"/>
      <c r="D42" s="18"/>
      <c r="E42" s="36" t="s">
        <v>617</v>
      </c>
      <c r="F42" s="25"/>
      <c r="G42" s="25"/>
      <c r="H42" s="25"/>
      <c r="I42" s="18"/>
    </row>
    <row r="43" spans="1:9" s="1" customFormat="1" ht="21.75" customHeight="1" x14ac:dyDescent="0.3">
      <c r="A43" s="1" t="s">
        <v>558</v>
      </c>
      <c r="B43" s="37" t="s">
        <v>169</v>
      </c>
      <c r="C43" s="25"/>
      <c r="D43" s="18"/>
      <c r="E43" s="36" t="s">
        <v>618</v>
      </c>
      <c r="F43" s="25"/>
      <c r="G43" s="25"/>
      <c r="H43" s="25"/>
      <c r="I43" s="18"/>
    </row>
    <row r="44" spans="1:9" s="1" customFormat="1" ht="21.75" customHeight="1" x14ac:dyDescent="0.3">
      <c r="B44" s="38" t="s">
        <v>171</v>
      </c>
      <c r="C44" s="25"/>
      <c r="D44" s="18"/>
      <c r="E44" s="36" t="s">
        <v>619</v>
      </c>
      <c r="F44" s="25"/>
      <c r="G44" s="25"/>
      <c r="H44" s="25"/>
      <c r="I44" s="18"/>
    </row>
    <row r="45" spans="1:9" s="1" customFormat="1" ht="21.75" customHeight="1" x14ac:dyDescent="0.3">
      <c r="B45" s="37" t="s">
        <v>165</v>
      </c>
      <c r="C45" s="25"/>
      <c r="D45" s="18"/>
      <c r="E45" s="36" t="s">
        <v>620</v>
      </c>
      <c r="F45" s="25"/>
      <c r="G45" s="25"/>
      <c r="H45" s="25"/>
      <c r="I45" s="18"/>
    </row>
    <row r="46" spans="1:9" s="1" customFormat="1" ht="21.75" customHeight="1" x14ac:dyDescent="0.3">
      <c r="B46" s="37" t="s">
        <v>167</v>
      </c>
      <c r="C46" s="25"/>
      <c r="D46" s="18"/>
      <c r="E46" s="36" t="s">
        <v>621</v>
      </c>
      <c r="F46" s="25"/>
      <c r="G46" s="25"/>
      <c r="H46" s="25"/>
      <c r="I46" s="18"/>
    </row>
    <row r="47" spans="1:9" s="1" customFormat="1" ht="21.75" customHeight="1" x14ac:dyDescent="0.3">
      <c r="A47" s="1" t="s">
        <v>563</v>
      </c>
      <c r="B47" s="37" t="s">
        <v>169</v>
      </c>
      <c r="C47" s="25"/>
      <c r="D47" s="18"/>
      <c r="E47" s="36" t="s">
        <v>622</v>
      </c>
      <c r="F47" s="25"/>
      <c r="G47" s="25"/>
      <c r="H47" s="25"/>
      <c r="I47" s="18"/>
    </row>
    <row r="48" spans="1:9" s="1" customFormat="1" ht="21.75" customHeight="1" x14ac:dyDescent="0.3">
      <c r="B48" s="35" t="s">
        <v>176</v>
      </c>
      <c r="C48" s="25"/>
      <c r="D48" s="18"/>
      <c r="E48" s="36" t="s">
        <v>623</v>
      </c>
      <c r="F48" s="25"/>
      <c r="G48" s="25"/>
      <c r="H48" s="25"/>
      <c r="I48" s="18"/>
    </row>
    <row r="49" spans="2:9" s="1" customFormat="1" ht="21.75" customHeight="1" x14ac:dyDescent="0.3">
      <c r="B49" s="37" t="s">
        <v>165</v>
      </c>
      <c r="C49" s="25"/>
      <c r="D49" s="18"/>
      <c r="E49" s="36" t="s">
        <v>624</v>
      </c>
      <c r="F49" s="25"/>
      <c r="G49" s="25"/>
      <c r="H49" s="25"/>
      <c r="I49" s="18"/>
    </row>
    <row r="50" spans="2:9" s="1" customFormat="1" ht="21.75" customHeight="1" x14ac:dyDescent="0.3">
      <c r="B50" s="37" t="s">
        <v>167</v>
      </c>
      <c r="C50" s="25"/>
      <c r="D50" s="18"/>
      <c r="E50" s="36" t="s">
        <v>625</v>
      </c>
      <c r="F50" s="25"/>
      <c r="G50" s="25"/>
      <c r="H50" s="25"/>
      <c r="I50" s="18"/>
    </row>
    <row r="51" spans="2:9" s="1" customFormat="1" ht="21.75" customHeight="1" x14ac:dyDescent="0.3">
      <c r="B51" s="37" t="s">
        <v>169</v>
      </c>
      <c r="C51" s="25"/>
      <c r="D51" s="18"/>
      <c r="E51" s="36" t="s">
        <v>169</v>
      </c>
      <c r="F51" s="25"/>
      <c r="G51" s="25"/>
      <c r="H51" s="25"/>
      <c r="I51" s="18"/>
    </row>
    <row r="52" spans="2:9" s="1" customFormat="1" ht="21.75" customHeight="1" x14ac:dyDescent="0.3">
      <c r="B52" s="35" t="s">
        <v>181</v>
      </c>
      <c r="C52" s="25"/>
      <c r="D52" s="18"/>
      <c r="E52" s="36"/>
      <c r="F52" s="25"/>
      <c r="G52" s="25"/>
      <c r="H52" s="25"/>
      <c r="I52" s="18"/>
    </row>
    <row r="53" spans="2:9" s="1" customFormat="1" ht="21.75" customHeight="1" x14ac:dyDescent="0.3">
      <c r="B53" s="37" t="s">
        <v>165</v>
      </c>
      <c r="C53" s="25"/>
      <c r="D53" s="18"/>
      <c r="E53" s="36"/>
      <c r="F53" s="25"/>
      <c r="G53" s="25"/>
      <c r="H53" s="25"/>
      <c r="I53" s="18"/>
    </row>
    <row r="54" spans="2:9" s="1" customFormat="1" ht="21.75" customHeight="1" x14ac:dyDescent="0.3">
      <c r="B54" s="37" t="s">
        <v>167</v>
      </c>
      <c r="C54" s="25"/>
      <c r="D54" s="18"/>
      <c r="E54" s="36"/>
      <c r="F54" s="25"/>
      <c r="G54" s="25"/>
      <c r="H54" s="25"/>
      <c r="I54" s="18"/>
    </row>
    <row r="55" spans="2:9" s="1" customFormat="1" ht="21.75" customHeight="1" x14ac:dyDescent="0.3">
      <c r="B55" s="37" t="s">
        <v>169</v>
      </c>
      <c r="C55" s="25"/>
      <c r="D55" s="18"/>
      <c r="E55" s="36"/>
      <c r="F55" s="25"/>
      <c r="G55" s="25"/>
      <c r="H55" s="25"/>
      <c r="I55" s="18"/>
    </row>
    <row r="56" spans="2:9" x14ac:dyDescent="0.3">
      <c r="E56" s="36"/>
      <c r="F56" s="25"/>
      <c r="G56" s="25"/>
      <c r="H56" s="25"/>
      <c r="I56" s="18"/>
    </row>
    <row r="57" spans="2:9" s="1" customFormat="1" ht="21.75" customHeight="1" x14ac:dyDescent="0.3">
      <c r="B57" s="40" t="s">
        <v>182</v>
      </c>
      <c r="C57" s="25"/>
      <c r="D57" s="25"/>
      <c r="E57" s="25"/>
      <c r="F57" s="25"/>
      <c r="G57" s="25"/>
      <c r="H57" s="25"/>
      <c r="I57" s="18"/>
    </row>
    <row r="58" spans="2:9" s="1" customFormat="1" ht="13.5" customHeight="1" x14ac:dyDescent="0.3">
      <c r="B58" s="31" t="s">
        <v>183</v>
      </c>
      <c r="C58" s="30"/>
      <c r="D58" s="30"/>
      <c r="E58" s="30"/>
      <c r="F58" s="30"/>
      <c r="G58" s="30"/>
      <c r="H58" s="30"/>
      <c r="I58" s="30"/>
    </row>
    <row r="59" spans="2:9" s="1" customFormat="1" ht="18" customHeight="1" x14ac:dyDescent="0.3">
      <c r="B59" s="41" t="s">
        <v>184</v>
      </c>
      <c r="C59" s="25"/>
      <c r="D59" s="25"/>
      <c r="E59" s="25"/>
      <c r="F59" s="25"/>
      <c r="G59" s="25"/>
      <c r="H59" s="25"/>
      <c r="I59" s="18"/>
    </row>
    <row r="60" spans="2:9" s="1" customFormat="1" ht="18" customHeight="1" x14ac:dyDescent="0.3">
      <c r="B60" s="42" t="s">
        <v>185</v>
      </c>
      <c r="C60" s="25"/>
      <c r="D60" s="18"/>
      <c r="E60" s="43" t="s">
        <v>626</v>
      </c>
      <c r="F60" s="30"/>
      <c r="G60" s="30"/>
      <c r="H60" s="30"/>
      <c r="I60" s="30"/>
    </row>
    <row r="61" spans="2:9" s="1" customFormat="1" ht="18" customHeight="1" x14ac:dyDescent="0.3">
      <c r="B61" s="42" t="s">
        <v>187</v>
      </c>
      <c r="C61" s="25"/>
      <c r="D61" s="18"/>
      <c r="E61" s="43" t="s">
        <v>627</v>
      </c>
      <c r="F61" s="30"/>
      <c r="G61" s="30"/>
      <c r="H61" s="30"/>
      <c r="I61" s="30"/>
    </row>
    <row r="62" spans="2:9" s="1" customFormat="1" ht="18" customHeight="1" x14ac:dyDescent="0.3">
      <c r="B62" s="42" t="s">
        <v>189</v>
      </c>
      <c r="C62" s="25"/>
      <c r="D62" s="18"/>
      <c r="E62" s="43" t="s">
        <v>628</v>
      </c>
      <c r="F62" s="30"/>
      <c r="G62" s="30"/>
      <c r="H62" s="30"/>
      <c r="I62" s="30"/>
    </row>
    <row r="63" spans="2:9" s="1" customFormat="1" ht="18" customHeight="1" x14ac:dyDescent="0.3">
      <c r="B63" s="42" t="s">
        <v>191</v>
      </c>
      <c r="C63" s="25"/>
      <c r="D63" s="18"/>
      <c r="E63" s="43" t="s">
        <v>629</v>
      </c>
      <c r="F63" s="30"/>
      <c r="G63" s="30"/>
      <c r="H63" s="30"/>
      <c r="I63" s="30"/>
    </row>
    <row r="64" spans="2:9" s="1" customFormat="1" ht="18" customHeight="1" x14ac:dyDescent="0.3">
      <c r="B64" s="42" t="s">
        <v>193</v>
      </c>
      <c r="C64" s="25"/>
      <c r="D64" s="18"/>
      <c r="E64" s="43" t="s">
        <v>630</v>
      </c>
      <c r="F64" s="30"/>
      <c r="G64" s="30"/>
      <c r="H64" s="30"/>
      <c r="I64" s="30"/>
    </row>
    <row r="66" spans="2:9" s="1" customFormat="1" ht="18" customHeight="1" x14ac:dyDescent="0.3">
      <c r="B66" s="41" t="s">
        <v>195</v>
      </c>
      <c r="C66" s="25"/>
      <c r="D66" s="25"/>
      <c r="E66" s="25"/>
      <c r="F66" s="25"/>
      <c r="G66" s="25"/>
      <c r="H66" s="25"/>
      <c r="I66" s="18"/>
    </row>
    <row r="67" spans="2:9" s="1" customFormat="1" ht="18" customHeight="1" x14ac:dyDescent="0.3">
      <c r="B67" s="42" t="s">
        <v>185</v>
      </c>
      <c r="C67" s="25"/>
      <c r="D67" s="18"/>
      <c r="E67" s="43" t="s">
        <v>631</v>
      </c>
      <c r="F67" s="30"/>
      <c r="G67" s="30"/>
      <c r="H67" s="30"/>
      <c r="I67" s="30"/>
    </row>
    <row r="68" spans="2:9" s="1" customFormat="1" ht="18" customHeight="1" x14ac:dyDescent="0.3">
      <c r="B68" s="42" t="s">
        <v>187</v>
      </c>
      <c r="C68" s="25"/>
      <c r="D68" s="18"/>
      <c r="E68" s="43" t="s">
        <v>632</v>
      </c>
      <c r="F68" s="30"/>
      <c r="G68" s="30"/>
      <c r="H68" s="30"/>
      <c r="I68" s="30"/>
    </row>
    <row r="69" spans="2:9" s="1" customFormat="1" ht="18" customHeight="1" x14ac:dyDescent="0.3">
      <c r="B69" s="42" t="s">
        <v>189</v>
      </c>
      <c r="C69" s="25"/>
      <c r="D69" s="18"/>
      <c r="E69" s="43" t="s">
        <v>633</v>
      </c>
      <c r="F69" s="30"/>
      <c r="G69" s="30"/>
      <c r="H69" s="30"/>
      <c r="I69" s="30"/>
    </row>
    <row r="70" spans="2:9" s="1" customFormat="1" ht="18" customHeight="1" x14ac:dyDescent="0.3">
      <c r="B70" s="42" t="s">
        <v>191</v>
      </c>
      <c r="C70" s="25"/>
      <c r="D70" s="18"/>
      <c r="E70" s="43" t="s">
        <v>634</v>
      </c>
      <c r="F70" s="30"/>
      <c r="G70" s="30"/>
      <c r="H70" s="30"/>
      <c r="I70" s="30"/>
    </row>
    <row r="71" spans="2:9" s="1" customFormat="1" ht="18" customHeight="1" x14ac:dyDescent="0.3">
      <c r="B71" s="42" t="s">
        <v>193</v>
      </c>
      <c r="C71" s="25"/>
      <c r="D71" s="18"/>
      <c r="E71" s="43" t="s">
        <v>635</v>
      </c>
      <c r="F71" s="30"/>
      <c r="G71" s="30"/>
      <c r="H71" s="30"/>
      <c r="I71" s="30"/>
    </row>
    <row r="73" spans="2:9" s="1" customFormat="1" ht="18" customHeight="1" x14ac:dyDescent="0.3">
      <c r="B73" s="41" t="s">
        <v>201</v>
      </c>
      <c r="C73" s="25"/>
      <c r="D73" s="25"/>
      <c r="E73" s="25"/>
      <c r="F73" s="25"/>
      <c r="G73" s="25"/>
      <c r="H73" s="25"/>
      <c r="I73" s="18"/>
    </row>
    <row r="74" spans="2:9" s="1" customFormat="1" ht="18" customHeight="1" x14ac:dyDescent="0.3">
      <c r="B74" s="42" t="s">
        <v>185</v>
      </c>
      <c r="C74" s="25"/>
      <c r="D74" s="18"/>
      <c r="E74" s="37" t="s">
        <v>636</v>
      </c>
      <c r="F74" s="25"/>
      <c r="G74" s="25"/>
      <c r="H74" s="25"/>
      <c r="I74" s="18"/>
    </row>
    <row r="75" spans="2:9" s="1" customFormat="1" ht="18" customHeight="1" x14ac:dyDescent="0.3">
      <c r="B75" s="42" t="s">
        <v>187</v>
      </c>
      <c r="C75" s="25"/>
      <c r="D75" s="18"/>
      <c r="E75" s="37" t="s">
        <v>637</v>
      </c>
      <c r="F75" s="25"/>
      <c r="G75" s="25"/>
      <c r="H75" s="25"/>
      <c r="I75" s="18"/>
    </row>
    <row r="76" spans="2:9" s="1" customFormat="1" ht="18" customHeight="1" x14ac:dyDescent="0.3">
      <c r="B76" s="42" t="s">
        <v>189</v>
      </c>
      <c r="C76" s="25"/>
      <c r="D76" s="18"/>
      <c r="E76" s="37" t="s">
        <v>638</v>
      </c>
      <c r="F76" s="25"/>
      <c r="G76" s="25"/>
      <c r="H76" s="25"/>
      <c r="I76" s="18"/>
    </row>
    <row r="77" spans="2:9" s="1" customFormat="1" ht="18" customHeight="1" x14ac:dyDescent="0.3">
      <c r="B77" s="42" t="s">
        <v>191</v>
      </c>
      <c r="C77" s="25"/>
      <c r="D77" s="18"/>
      <c r="E77" s="37" t="s">
        <v>639</v>
      </c>
      <c r="F77" s="25"/>
      <c r="G77" s="25"/>
      <c r="H77" s="25"/>
      <c r="I77" s="18"/>
    </row>
    <row r="78" spans="2:9" s="1" customFormat="1" ht="18" customHeight="1" x14ac:dyDescent="0.3">
      <c r="B78" s="42" t="s">
        <v>193</v>
      </c>
      <c r="C78" s="25"/>
      <c r="D78" s="18"/>
      <c r="E78" s="37" t="s">
        <v>640</v>
      </c>
      <c r="F78" s="25"/>
      <c r="G78" s="25"/>
      <c r="H78" s="25"/>
      <c r="I78" s="18"/>
    </row>
    <row r="80" spans="2:9" s="1" customFormat="1" ht="18" customHeight="1" x14ac:dyDescent="0.3">
      <c r="B80" s="41" t="s">
        <v>207</v>
      </c>
      <c r="C80" s="25"/>
      <c r="D80" s="25"/>
      <c r="E80" s="25"/>
      <c r="F80" s="25"/>
      <c r="G80" s="25"/>
      <c r="H80" s="25"/>
      <c r="I80" s="18"/>
    </row>
    <row r="81" spans="2:9" s="1" customFormat="1" ht="18" customHeight="1" x14ac:dyDescent="0.3">
      <c r="B81" s="42" t="s">
        <v>185</v>
      </c>
      <c r="C81" s="25"/>
      <c r="D81" s="18"/>
      <c r="E81" s="37" t="s">
        <v>208</v>
      </c>
      <c r="F81" s="25"/>
      <c r="G81" s="25"/>
      <c r="H81" s="25"/>
      <c r="I81" s="18"/>
    </row>
    <row r="82" spans="2:9" s="1" customFormat="1" ht="18" customHeight="1" x14ac:dyDescent="0.3">
      <c r="B82" s="42" t="s">
        <v>187</v>
      </c>
      <c r="C82" s="25"/>
      <c r="D82" s="18"/>
      <c r="E82" s="37" t="s">
        <v>209</v>
      </c>
      <c r="F82" s="25"/>
      <c r="G82" s="25"/>
      <c r="H82" s="25"/>
      <c r="I82" s="18"/>
    </row>
    <row r="83" spans="2:9" s="1" customFormat="1" ht="18" customHeight="1" x14ac:dyDescent="0.3">
      <c r="B83" s="42" t="s">
        <v>189</v>
      </c>
      <c r="C83" s="25"/>
      <c r="D83" s="18"/>
      <c r="E83" s="37" t="s">
        <v>210</v>
      </c>
      <c r="F83" s="25"/>
      <c r="G83" s="25"/>
      <c r="H83" s="25"/>
      <c r="I83" s="18"/>
    </row>
    <row r="84" spans="2:9" s="1" customFormat="1" ht="18" customHeight="1" x14ac:dyDescent="0.3">
      <c r="B84" s="42" t="s">
        <v>191</v>
      </c>
      <c r="C84" s="25"/>
      <c r="D84" s="18"/>
      <c r="E84" s="37" t="s">
        <v>211</v>
      </c>
      <c r="F84" s="25"/>
      <c r="G84" s="25"/>
      <c r="H84" s="25"/>
      <c r="I84" s="18"/>
    </row>
    <row r="85" spans="2:9" s="1" customFormat="1" ht="18" customHeight="1" x14ac:dyDescent="0.3">
      <c r="B85" s="42" t="s">
        <v>193</v>
      </c>
      <c r="C85" s="25"/>
      <c r="D85" s="18"/>
      <c r="E85" s="37" t="s">
        <v>212</v>
      </c>
      <c r="F85" s="25"/>
      <c r="G85" s="25"/>
      <c r="H85" s="25"/>
      <c r="I85" s="18"/>
    </row>
    <row r="87" spans="2:9" s="1" customFormat="1" ht="18" customHeight="1" x14ac:dyDescent="0.3">
      <c r="B87" s="41" t="s">
        <v>213</v>
      </c>
      <c r="C87" s="25"/>
      <c r="D87" s="25"/>
      <c r="E87" s="25"/>
      <c r="F87" s="25"/>
      <c r="G87" s="25"/>
      <c r="H87" s="25"/>
      <c r="I87" s="18"/>
    </row>
    <row r="88" spans="2:9" s="1" customFormat="1" ht="18" customHeight="1" x14ac:dyDescent="0.3">
      <c r="B88" s="42" t="s">
        <v>185</v>
      </c>
      <c r="C88" s="25"/>
      <c r="D88" s="18"/>
      <c r="E88" s="37" t="s">
        <v>208</v>
      </c>
      <c r="F88" s="25"/>
      <c r="G88" s="25"/>
      <c r="H88" s="25"/>
      <c r="I88" s="18"/>
    </row>
    <row r="89" spans="2:9" s="1" customFormat="1" ht="18" customHeight="1" x14ac:dyDescent="0.3">
      <c r="B89" s="42" t="s">
        <v>187</v>
      </c>
      <c r="C89" s="25"/>
      <c r="D89" s="18"/>
      <c r="E89" s="37" t="s">
        <v>209</v>
      </c>
      <c r="F89" s="25"/>
      <c r="G89" s="25"/>
      <c r="H89" s="25"/>
      <c r="I89" s="18"/>
    </row>
    <row r="90" spans="2:9" s="1" customFormat="1" ht="18" customHeight="1" x14ac:dyDescent="0.3">
      <c r="B90" s="42" t="s">
        <v>189</v>
      </c>
      <c r="C90" s="25"/>
      <c r="D90" s="18"/>
      <c r="E90" s="37" t="s">
        <v>210</v>
      </c>
      <c r="F90" s="25"/>
      <c r="G90" s="25"/>
      <c r="H90" s="25"/>
      <c r="I90" s="18"/>
    </row>
    <row r="91" spans="2:9" s="1" customFormat="1" ht="18" customHeight="1" x14ac:dyDescent="0.3">
      <c r="B91" s="42" t="s">
        <v>191</v>
      </c>
      <c r="C91" s="25"/>
      <c r="D91" s="18"/>
      <c r="E91" s="37" t="s">
        <v>211</v>
      </c>
      <c r="F91" s="25"/>
      <c r="G91" s="25"/>
      <c r="H91" s="25"/>
      <c r="I91" s="18"/>
    </row>
    <row r="92" spans="2:9" s="1" customFormat="1" ht="18" customHeight="1" x14ac:dyDescent="0.3">
      <c r="B92" s="42" t="s">
        <v>193</v>
      </c>
      <c r="C92" s="25"/>
      <c r="D92" s="18"/>
      <c r="E92" s="37" t="s">
        <v>212</v>
      </c>
      <c r="F92" s="25"/>
      <c r="G92" s="25"/>
      <c r="H92" s="25"/>
      <c r="I92" s="18"/>
    </row>
    <row r="94" spans="2:9" s="1" customFormat="1" ht="15.75" customHeight="1" x14ac:dyDescent="0.3">
      <c r="B94" s="45" t="s">
        <v>641</v>
      </c>
      <c r="C94" s="25"/>
      <c r="D94" s="25"/>
      <c r="E94" s="25"/>
      <c r="F94" s="25"/>
      <c r="G94" s="25"/>
      <c r="H94" s="25"/>
      <c r="I94" s="18"/>
    </row>
  </sheetData>
  <mergeCells count="106">
    <mergeCell ref="B92:D92"/>
    <mergeCell ref="E92:I92"/>
    <mergeCell ref="B94:I94"/>
    <mergeCell ref="B87:I87"/>
    <mergeCell ref="B88:D88"/>
    <mergeCell ref="E88:I88"/>
    <mergeCell ref="B89:D89"/>
    <mergeCell ref="E89:I89"/>
    <mergeCell ref="B90:D90"/>
    <mergeCell ref="E90:I90"/>
    <mergeCell ref="B91:D91"/>
    <mergeCell ref="E91:I91"/>
    <mergeCell ref="B81:D81"/>
    <mergeCell ref="E81:I81"/>
    <mergeCell ref="B82:D82"/>
    <mergeCell ref="E82:I82"/>
    <mergeCell ref="B83:D83"/>
    <mergeCell ref="E83:I83"/>
    <mergeCell ref="B84:D84"/>
    <mergeCell ref="E84:I84"/>
    <mergeCell ref="B85:D85"/>
    <mergeCell ref="E85:I85"/>
    <mergeCell ref="B75:D75"/>
    <mergeCell ref="E75:I75"/>
    <mergeCell ref="B76:D76"/>
    <mergeCell ref="E76:I76"/>
    <mergeCell ref="B77:D77"/>
    <mergeCell ref="E77:I77"/>
    <mergeCell ref="B78:D78"/>
    <mergeCell ref="E78:I78"/>
    <mergeCell ref="B80:I80"/>
    <mergeCell ref="B69:D69"/>
    <mergeCell ref="E69:I69"/>
    <mergeCell ref="B70:D70"/>
    <mergeCell ref="E70:I70"/>
    <mergeCell ref="B71:D71"/>
    <mergeCell ref="E71:I71"/>
    <mergeCell ref="B73:I73"/>
    <mergeCell ref="B74:D74"/>
    <mergeCell ref="E74:I74"/>
    <mergeCell ref="B63:D63"/>
    <mergeCell ref="E63:I63"/>
    <mergeCell ref="B64:D64"/>
    <mergeCell ref="E64:I64"/>
    <mergeCell ref="B66:I66"/>
    <mergeCell ref="B67:D67"/>
    <mergeCell ref="E67:I67"/>
    <mergeCell ref="B68:D68"/>
    <mergeCell ref="E68:I68"/>
    <mergeCell ref="B57:I57"/>
    <mergeCell ref="B58:I58"/>
    <mergeCell ref="B59:I59"/>
    <mergeCell ref="B60:D60"/>
    <mergeCell ref="E60:I60"/>
    <mergeCell ref="B61:D61"/>
    <mergeCell ref="E61:I61"/>
    <mergeCell ref="B62:D62"/>
    <mergeCell ref="E62:I62"/>
    <mergeCell ref="B52:D52"/>
    <mergeCell ref="E52:I52"/>
    <mergeCell ref="B53:D53"/>
    <mergeCell ref="E53:I53"/>
    <mergeCell ref="B54:D54"/>
    <mergeCell ref="E54:I54"/>
    <mergeCell ref="B55:D55"/>
    <mergeCell ref="E55:I55"/>
    <mergeCell ref="E56:I56"/>
    <mergeCell ref="B47:D47"/>
    <mergeCell ref="E47:I47"/>
    <mergeCell ref="B48:D48"/>
    <mergeCell ref="E48:I48"/>
    <mergeCell ref="B49:D49"/>
    <mergeCell ref="E49:I49"/>
    <mergeCell ref="B50:D50"/>
    <mergeCell ref="E50:I50"/>
    <mergeCell ref="B51:D51"/>
    <mergeCell ref="E51:I51"/>
    <mergeCell ref="B42:D42"/>
    <mergeCell ref="E42:I42"/>
    <mergeCell ref="B43:D43"/>
    <mergeCell ref="E43:I43"/>
    <mergeCell ref="B44:D44"/>
    <mergeCell ref="E44:I44"/>
    <mergeCell ref="B45:D45"/>
    <mergeCell ref="E45:I45"/>
    <mergeCell ref="B46:D46"/>
    <mergeCell ref="E46:I46"/>
    <mergeCell ref="B24:I24"/>
    <mergeCell ref="B28:I28"/>
    <mergeCell ref="B32:I32"/>
    <mergeCell ref="B37:I37"/>
    <mergeCell ref="B38:I38"/>
    <mergeCell ref="E39:I39"/>
    <mergeCell ref="B40:D40"/>
    <mergeCell ref="E40:I40"/>
    <mergeCell ref="B41:D41"/>
    <mergeCell ref="E41:I41"/>
    <mergeCell ref="B2:I2"/>
    <mergeCell ref="B3:I3"/>
    <mergeCell ref="B5:I5"/>
    <mergeCell ref="B6:I6"/>
    <mergeCell ref="B17:I17"/>
    <mergeCell ref="B18:I18"/>
    <mergeCell ref="D19:F19"/>
    <mergeCell ref="G19:H19"/>
    <mergeCell ref="B20:I20"/>
  </mergeCells>
  <pageMargins left="0.75" right="0.75" top="1" bottom="1" header="0.511811023622047" footer="0.511811023622047"/>
  <pageSetup paperSize="9" orientation="portrait" useFirstPageNumber="1"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2"/>
  <sheetViews>
    <sheetView showGridLines="0" zoomScaleNormal="100" workbookViewId="0">
      <selection activeCell="D26" sqref="D26"/>
    </sheetView>
  </sheetViews>
  <sheetFormatPr defaultColWidth="8.5546875" defaultRowHeight="14.4" customHeight="1" x14ac:dyDescent="0.3"/>
  <cols>
    <col min="1" max="1" width="3" style="1" customWidth="1"/>
    <col min="2" max="2" width="12" style="1" customWidth="1"/>
    <col min="3" max="6" width="16" style="1" customWidth="1"/>
    <col min="7" max="11" width="13" style="1" customWidth="1"/>
  </cols>
  <sheetData>
    <row r="1" spans="2:12" s="1" customFormat="1" ht="13.5" customHeight="1" x14ac:dyDescent="0.3"/>
    <row r="2" spans="2:12" s="1" customFormat="1" ht="33.75" customHeight="1" x14ac:dyDescent="0.3">
      <c r="B2" s="28" t="s">
        <v>642</v>
      </c>
      <c r="C2" s="25"/>
      <c r="D2" s="25"/>
      <c r="E2" s="25"/>
      <c r="F2" s="25"/>
      <c r="G2" s="25"/>
      <c r="H2" s="25"/>
      <c r="I2" s="25"/>
      <c r="J2" s="25"/>
      <c r="K2" s="25"/>
      <c r="L2" s="18"/>
    </row>
    <row r="4" spans="2:12" s="1" customFormat="1" ht="19.5" customHeight="1" x14ac:dyDescent="0.3">
      <c r="B4" s="21" t="s">
        <v>643</v>
      </c>
      <c r="C4" s="25"/>
      <c r="D4" s="25"/>
      <c r="E4" s="25"/>
      <c r="F4" s="25"/>
      <c r="G4" s="25"/>
      <c r="H4" s="25"/>
      <c r="I4" s="25"/>
      <c r="J4" s="25"/>
      <c r="K4" s="25"/>
      <c r="L4" s="18"/>
    </row>
    <row r="5" spans="2:12" s="1" customFormat="1" ht="19.5" customHeight="1" x14ac:dyDescent="0.3">
      <c r="B5" s="4" t="s">
        <v>644</v>
      </c>
      <c r="C5" s="4" t="s">
        <v>645</v>
      </c>
      <c r="D5" s="4" t="s">
        <v>646</v>
      </c>
      <c r="E5" s="4" t="s">
        <v>647</v>
      </c>
      <c r="F5" s="4" t="s">
        <v>648</v>
      </c>
      <c r="G5" s="4" t="s">
        <v>649</v>
      </c>
      <c r="H5" s="4" t="s">
        <v>650</v>
      </c>
      <c r="I5" s="4" t="s">
        <v>105</v>
      </c>
      <c r="J5" s="4" t="s">
        <v>100</v>
      </c>
      <c r="K5" s="4" t="s">
        <v>95</v>
      </c>
      <c r="L5" s="4" t="s">
        <v>51</v>
      </c>
    </row>
    <row r="6" spans="2:12" s="1" customFormat="1" ht="18" customHeight="1" x14ac:dyDescent="0.3">
      <c r="B6" s="16" t="s">
        <v>651</v>
      </c>
      <c r="C6" s="16">
        <f>COUNTIF(Week_01!$C$8:$C$15,"A")</f>
        <v>3</v>
      </c>
      <c r="D6" s="16">
        <f>COUNTIF(Week_01!$C$8:$C$15,"B")</f>
        <v>1</v>
      </c>
      <c r="E6" s="16">
        <f>COUNTIF(Week_01!$C$8:$C$15,"C")</f>
        <v>4</v>
      </c>
      <c r="F6" s="16">
        <f>COUNTIF(Week_01!$C$8:$C$15,"D")</f>
        <v>0</v>
      </c>
      <c r="G6" s="16">
        <f>COUNTIF(Week_01!$C$8:$C$15,"E")</f>
        <v>0</v>
      </c>
      <c r="H6" s="16">
        <f t="shared" ref="H6:H15" si="0">SUM(C6:G6)</f>
        <v>8</v>
      </c>
      <c r="I6" s="16">
        <f>COUNTIF(Week_01!$G$8:$G$15,"Low")</f>
        <v>2</v>
      </c>
      <c r="J6" s="16">
        <f>COUNTIF(Week_01!$G$8:$G$15,"Medium")</f>
        <v>2</v>
      </c>
      <c r="K6" s="16">
        <f>COUNTIF(Week_01!$G$8:$G$15,"High")</f>
        <v>4</v>
      </c>
      <c r="L6" s="16"/>
    </row>
    <row r="7" spans="2:12" s="1" customFormat="1" ht="18" customHeight="1" x14ac:dyDescent="0.3">
      <c r="B7" s="16" t="s">
        <v>652</v>
      </c>
      <c r="C7" s="16">
        <f>COUNTIF(Week_02!$C$8:$C$15,"A")</f>
        <v>2</v>
      </c>
      <c r="D7" s="16">
        <f>COUNTIF(Week_02!$C$8:$C$15,"B")</f>
        <v>2</v>
      </c>
      <c r="E7" s="16">
        <f>COUNTIF(Week_02!$C$8:$C$15,"C")</f>
        <v>2</v>
      </c>
      <c r="F7" s="16">
        <f>COUNTIF(Week_02!$C$8:$C$15,"D")</f>
        <v>0</v>
      </c>
      <c r="G7" s="16">
        <f>COUNTIF(Week_02!$C$8:$C$15,"E")</f>
        <v>0</v>
      </c>
      <c r="H7" s="16">
        <f t="shared" si="0"/>
        <v>6</v>
      </c>
      <c r="I7" s="16">
        <f>COUNTIF(Week_02!$G$8:$G$15,"Low")</f>
        <v>1</v>
      </c>
      <c r="J7" s="16">
        <f>COUNTIF(Week_02!$G$8:$G$15,"Medium")</f>
        <v>4</v>
      </c>
      <c r="K7" s="16">
        <f>COUNTIF(Week_02!$G$8:$G$15,"High")</f>
        <v>1</v>
      </c>
      <c r="L7" s="16"/>
    </row>
    <row r="8" spans="2:12" s="1" customFormat="1" ht="18" customHeight="1" x14ac:dyDescent="0.3">
      <c r="B8" s="16" t="s">
        <v>653</v>
      </c>
      <c r="C8" s="16">
        <f>COUNTIF(Week_03!$C$8:$C$15,"A")</f>
        <v>2</v>
      </c>
      <c r="D8" s="16">
        <f>COUNTIF(Week_03!$C$8:$C$15,"B")</f>
        <v>2</v>
      </c>
      <c r="E8" s="16">
        <f>COUNTIF(Week_03!$C$8:$C$15,"C")</f>
        <v>2</v>
      </c>
      <c r="F8" s="16">
        <f>COUNTIF(Week_03!$C$8:$C$15,"D")</f>
        <v>0</v>
      </c>
      <c r="G8" s="16">
        <f>COUNTIF(Week_03!$C$8:$C$15,"E")</f>
        <v>0</v>
      </c>
      <c r="H8" s="16">
        <f t="shared" si="0"/>
        <v>6</v>
      </c>
      <c r="I8" s="16">
        <f>COUNTIF(Week_03!$G$8:$G$15,"Low")</f>
        <v>1</v>
      </c>
      <c r="J8" s="16">
        <f>COUNTIF(Week_03!$G$8:$G$15,"Medium")</f>
        <v>3</v>
      </c>
      <c r="K8" s="16">
        <f>COUNTIF(Week_03!$G$8:$G$15,"High")</f>
        <v>2</v>
      </c>
      <c r="L8" s="16"/>
    </row>
    <row r="9" spans="2:12" s="1" customFormat="1" ht="18" customHeight="1" x14ac:dyDescent="0.3">
      <c r="B9" s="16" t="s">
        <v>654</v>
      </c>
      <c r="C9" s="16">
        <f>COUNTIF(Week_04!$C$8:$C$15,"A")</f>
        <v>2</v>
      </c>
      <c r="D9" s="16">
        <f>COUNTIF(Week_04!$C$8:$C$15,"B")</f>
        <v>2</v>
      </c>
      <c r="E9" s="16">
        <f>COUNTIF(Week_04!$C$8:$C$15,"C")</f>
        <v>2</v>
      </c>
      <c r="F9" s="16">
        <f>COUNTIF(Week_04!$C$8:$C$15,"D")</f>
        <v>0</v>
      </c>
      <c r="G9" s="16">
        <f>COUNTIF(Week_04!$C$8:$C$15,"E")</f>
        <v>0</v>
      </c>
      <c r="H9" s="16">
        <f t="shared" si="0"/>
        <v>6</v>
      </c>
      <c r="I9" s="16">
        <f>COUNTIF(Week_04!$G$8:$G$15,"Low")</f>
        <v>0</v>
      </c>
      <c r="J9" s="16">
        <f>COUNTIF(Week_04!$G$8:$G$15,"Medium")</f>
        <v>2</v>
      </c>
      <c r="K9" s="16">
        <f>COUNTIF(Week_04!$G$8:$G$15,"High")</f>
        <v>4</v>
      </c>
      <c r="L9" s="16"/>
    </row>
    <row r="10" spans="2:12" s="1" customFormat="1" ht="18" customHeight="1" x14ac:dyDescent="0.3">
      <c r="B10" s="16" t="s">
        <v>655</v>
      </c>
      <c r="C10" s="16">
        <f>COUNTIF(Week_05!$C$8:$C$15,"A")</f>
        <v>2</v>
      </c>
      <c r="D10" s="16">
        <f>COUNTIF(Week_05!$C$8:$C$15,"B")</f>
        <v>2</v>
      </c>
      <c r="E10" s="16">
        <f>COUNTIF(Week_05!$C$8:$C$15,"C")</f>
        <v>2</v>
      </c>
      <c r="F10" s="16">
        <f>COUNTIF(Week_05!$C$8:$C$15,"D")</f>
        <v>0</v>
      </c>
      <c r="G10" s="16">
        <f>COUNTIF(Week_05!$C$8:$C$15,"E")</f>
        <v>0</v>
      </c>
      <c r="H10" s="16">
        <f t="shared" si="0"/>
        <v>6</v>
      </c>
      <c r="I10" s="16">
        <f>COUNTIF(Week_05!$G$8:$G$15,"Low")</f>
        <v>2</v>
      </c>
      <c r="J10" s="16">
        <f>COUNTIF(Week_05!$G$8:$G$15,"Medium")</f>
        <v>1</v>
      </c>
      <c r="K10" s="16">
        <f>COUNTIF(Week_05!$G$8:$G$15,"High")</f>
        <v>3</v>
      </c>
      <c r="L10" s="16"/>
    </row>
    <row r="11" spans="2:12" s="1" customFormat="1" ht="18" customHeight="1" x14ac:dyDescent="0.3">
      <c r="B11" s="16" t="s">
        <v>656</v>
      </c>
      <c r="C11" s="16">
        <f>COUNTIF(Week_06!$C$8:$C$15,"A")</f>
        <v>2</v>
      </c>
      <c r="D11" s="16">
        <f>COUNTIF(Week_06!$C$8:$C$15,"B")</f>
        <v>1</v>
      </c>
      <c r="E11" s="16">
        <f>COUNTIF(Week_06!$C$8:$C$15,"C")</f>
        <v>1</v>
      </c>
      <c r="F11" s="16">
        <f>COUNTIF(Week_06!$C$8:$C$15,"D")</f>
        <v>0</v>
      </c>
      <c r="G11" s="16">
        <f>COUNTIF(Week_06!$C$8:$C$15,"E")</f>
        <v>0</v>
      </c>
      <c r="H11" s="16">
        <f t="shared" si="0"/>
        <v>4</v>
      </c>
      <c r="I11" s="16">
        <f>COUNTIF(Week_06!$G$8:$G$15,"Low")</f>
        <v>1</v>
      </c>
      <c r="J11" s="16">
        <f>COUNTIF(Week_06!$G$8:$G$15,"Medium")</f>
        <v>1</v>
      </c>
      <c r="K11" s="16">
        <f>COUNTIF(Week_06!$G$8:$G$15,"High")</f>
        <v>2</v>
      </c>
      <c r="L11" s="16"/>
    </row>
    <row r="12" spans="2:12" s="1" customFormat="1" ht="18" customHeight="1" x14ac:dyDescent="0.3">
      <c r="B12" s="16" t="s">
        <v>657</v>
      </c>
      <c r="C12" s="16">
        <f>COUNTIF(Week_07!$C$8:$C$15,"A")</f>
        <v>1</v>
      </c>
      <c r="D12" s="16">
        <f>COUNTIF(Week_07!$C$8:$C$15,"B")</f>
        <v>1</v>
      </c>
      <c r="E12" s="16">
        <f>COUNTIF(Week_07!$C$8:$C$15,"C")</f>
        <v>1</v>
      </c>
      <c r="F12" s="16">
        <f>COUNTIF(Week_07!$C$8:$C$15,"D")</f>
        <v>0</v>
      </c>
      <c r="G12" s="16">
        <f>COUNTIF(Week_07!$C$8:$C$15,"E")</f>
        <v>0</v>
      </c>
      <c r="H12" s="16">
        <f t="shared" si="0"/>
        <v>3</v>
      </c>
      <c r="I12" s="16">
        <f>COUNTIF(Week_07!$G$8:$G$15,"Low")</f>
        <v>0</v>
      </c>
      <c r="J12" s="16">
        <f>COUNTIF(Week_07!$G$8:$G$15,"Medium")</f>
        <v>1</v>
      </c>
      <c r="K12" s="16">
        <f>COUNTIF(Week_07!$G$8:$G$15,"High")</f>
        <v>2</v>
      </c>
      <c r="L12" s="16"/>
    </row>
    <row r="13" spans="2:12" s="1" customFormat="1" ht="18" customHeight="1" x14ac:dyDescent="0.3">
      <c r="B13" s="16" t="s">
        <v>658</v>
      </c>
      <c r="C13" s="16">
        <f>COUNTIF(Week_08!$C$8:$C$15,"A")</f>
        <v>1</v>
      </c>
      <c r="D13" s="16">
        <f>COUNTIF(Week_08!$C$8:$C$15,"B")</f>
        <v>1</v>
      </c>
      <c r="E13" s="16">
        <f>COUNTIF(Week_08!$C$8:$C$15,"C")</f>
        <v>1</v>
      </c>
      <c r="F13" s="16">
        <f>COUNTIF(Week_08!$C$8:$C$15,"D")</f>
        <v>0</v>
      </c>
      <c r="G13" s="16">
        <f>COUNTIF(Week_08!$C$8:$C$15,"E")</f>
        <v>0</v>
      </c>
      <c r="H13" s="16">
        <f t="shared" si="0"/>
        <v>3</v>
      </c>
      <c r="I13" s="16">
        <f>COUNTIF(Week_08!$G$8:$G$15,"Low")</f>
        <v>0</v>
      </c>
      <c r="J13" s="16">
        <f>COUNTIF(Week_08!$G$8:$G$15,"Medium")</f>
        <v>1</v>
      </c>
      <c r="K13" s="16">
        <f>COUNTIF(Week_08!$G$8:$G$15,"High")</f>
        <v>2</v>
      </c>
      <c r="L13" s="16"/>
    </row>
    <row r="14" spans="2:12" s="1" customFormat="1" ht="18" customHeight="1" x14ac:dyDescent="0.3">
      <c r="B14" s="16" t="s">
        <v>659</v>
      </c>
      <c r="C14" s="16">
        <f>COUNTIF(Week_09!$C$8:$C$15,"A")</f>
        <v>1</v>
      </c>
      <c r="D14" s="16">
        <f>COUNTIF(Week_09!$C$8:$C$15,"B")</f>
        <v>1</v>
      </c>
      <c r="E14" s="16">
        <f>COUNTIF(Week_09!$C$8:$C$15,"C")</f>
        <v>1</v>
      </c>
      <c r="F14" s="16">
        <f>COUNTIF(Week_09!$C$8:$C$15,"D")</f>
        <v>0</v>
      </c>
      <c r="G14" s="16">
        <f>COUNTIF(Week_09!$C$8:$C$15,"E")</f>
        <v>0</v>
      </c>
      <c r="H14" s="16">
        <f t="shared" si="0"/>
        <v>3</v>
      </c>
      <c r="I14" s="16">
        <f>COUNTIF(Week_09!$G$8:$G$15,"Low")</f>
        <v>0</v>
      </c>
      <c r="J14" s="16">
        <f>COUNTIF(Week_09!$G$8:$G$15,"Medium")</f>
        <v>1</v>
      </c>
      <c r="K14" s="16">
        <f>COUNTIF(Week_09!$G$8:$G$15,"High")</f>
        <v>2</v>
      </c>
      <c r="L14" s="16"/>
    </row>
    <row r="15" spans="2:12" s="1" customFormat="1" ht="18" customHeight="1" x14ac:dyDescent="0.3">
      <c r="B15" s="16" t="s">
        <v>660</v>
      </c>
      <c r="C15" s="16">
        <f>COUNTIF(Week_10!$C$8:$C$15,"A")</f>
        <v>1</v>
      </c>
      <c r="D15" s="16">
        <f>COUNTIF(Week_10!$C$8:$C$15,"B")</f>
        <v>1</v>
      </c>
      <c r="E15" s="16">
        <f>COUNTIF(Week_10!$C$8:$C$15,"C")</f>
        <v>1</v>
      </c>
      <c r="F15" s="16">
        <f>COUNTIF(Week_10!$C$8:$C$15,"D")</f>
        <v>0</v>
      </c>
      <c r="G15" s="16">
        <f>COUNTIF(Week_10!$C$8:$C$15,"E")</f>
        <v>0</v>
      </c>
      <c r="H15" s="16">
        <f t="shared" si="0"/>
        <v>3</v>
      </c>
      <c r="I15" s="16">
        <f>COUNTIF(Week_10!$G$8:$G$15,"Low")</f>
        <v>0</v>
      </c>
      <c r="J15" s="16">
        <f>COUNTIF(Week_10!$G$8:$G$15,"Medium")</f>
        <v>2</v>
      </c>
      <c r="K15" s="16">
        <f>COUNTIF(Week_10!$G$8:$G$15,"High")</f>
        <v>1</v>
      </c>
      <c r="L15" s="16"/>
    </row>
    <row r="16" spans="2:12" s="1" customFormat="1" ht="19.5" customHeight="1" x14ac:dyDescent="0.3">
      <c r="B16" s="4" t="s">
        <v>661</v>
      </c>
      <c r="C16" s="4">
        <f t="shared" ref="C16:K16" si="1">SUM(C6:C15)</f>
        <v>17</v>
      </c>
      <c r="D16" s="4">
        <f t="shared" si="1"/>
        <v>14</v>
      </c>
      <c r="E16" s="4">
        <f t="shared" si="1"/>
        <v>17</v>
      </c>
      <c r="F16" s="4">
        <f t="shared" si="1"/>
        <v>0</v>
      </c>
      <c r="G16" s="4">
        <f t="shared" si="1"/>
        <v>0</v>
      </c>
      <c r="H16" s="4">
        <f t="shared" si="1"/>
        <v>48</v>
      </c>
      <c r="I16" s="4">
        <f t="shared" si="1"/>
        <v>7</v>
      </c>
      <c r="J16" s="4">
        <f t="shared" si="1"/>
        <v>18</v>
      </c>
      <c r="K16" s="4">
        <f t="shared" si="1"/>
        <v>23</v>
      </c>
      <c r="L16" s="4"/>
    </row>
    <row r="18" spans="2:12" s="1" customFormat="1" ht="19.5" customHeight="1" x14ac:dyDescent="0.3">
      <c r="B18" s="40" t="s">
        <v>662</v>
      </c>
      <c r="C18" s="25"/>
      <c r="D18" s="25"/>
      <c r="E18" s="25"/>
      <c r="F18" s="25"/>
      <c r="G18" s="25"/>
      <c r="H18" s="25"/>
      <c r="I18" s="25"/>
      <c r="J18" s="25"/>
      <c r="K18" s="25"/>
      <c r="L18" s="18"/>
    </row>
    <row r="19" spans="2:12" s="1" customFormat="1" ht="21.75" customHeight="1" x14ac:dyDescent="0.3">
      <c r="B19" s="48" t="s">
        <v>663</v>
      </c>
      <c r="C19" s="25"/>
      <c r="D19" s="25"/>
      <c r="E19" s="36"/>
      <c r="F19" s="25"/>
      <c r="G19" s="25"/>
      <c r="H19" s="25"/>
      <c r="I19" s="25"/>
      <c r="J19" s="25"/>
      <c r="K19" s="25"/>
      <c r="L19" s="18"/>
    </row>
    <row r="20" spans="2:12" s="1" customFormat="1" ht="21.75" customHeight="1" x14ac:dyDescent="0.3">
      <c r="B20" s="48" t="s">
        <v>664</v>
      </c>
      <c r="C20" s="25"/>
      <c r="D20" s="25"/>
      <c r="E20" s="36"/>
      <c r="F20" s="25"/>
      <c r="G20" s="25"/>
      <c r="H20" s="25"/>
      <c r="I20" s="25"/>
      <c r="J20" s="25"/>
      <c r="K20" s="25"/>
      <c r="L20" s="18"/>
    </row>
    <row r="21" spans="2:12" s="1" customFormat="1" ht="21.75" customHeight="1" x14ac:dyDescent="0.3">
      <c r="B21" s="48" t="s">
        <v>665</v>
      </c>
      <c r="C21" s="25"/>
      <c r="D21" s="25"/>
      <c r="E21" s="36"/>
      <c r="F21" s="25"/>
      <c r="G21" s="25"/>
      <c r="H21" s="25"/>
      <c r="I21" s="25"/>
      <c r="J21" s="25"/>
      <c r="K21" s="25"/>
      <c r="L21" s="18"/>
    </row>
    <row r="22" spans="2:12" s="1" customFormat="1" ht="32.25" customHeight="1" x14ac:dyDescent="0.3">
      <c r="B22" s="48" t="s">
        <v>666</v>
      </c>
      <c r="C22" s="25"/>
      <c r="D22" s="25"/>
      <c r="E22" s="36"/>
      <c r="F22" s="25"/>
      <c r="G22" s="25"/>
      <c r="H22" s="25"/>
      <c r="I22" s="25"/>
      <c r="J22" s="25"/>
      <c r="K22" s="25"/>
      <c r="L22" s="18"/>
    </row>
  </sheetData>
  <mergeCells count="11">
    <mergeCell ref="B20:D20"/>
    <mergeCell ref="E20:L20"/>
    <mergeCell ref="B21:D21"/>
    <mergeCell ref="E21:L21"/>
    <mergeCell ref="B22:D22"/>
    <mergeCell ref="E22:L22"/>
    <mergeCell ref="B2:L2"/>
    <mergeCell ref="B4:L4"/>
    <mergeCell ref="B18:L18"/>
    <mergeCell ref="B19:D19"/>
    <mergeCell ref="E19:L19"/>
  </mergeCells>
  <pageMargins left="0.75" right="0.75" top="1" bottom="1" header="0.511811023622047" footer="0.511811023622047"/>
  <pageSetup paperSize="9" orientation="portrait" useFirstPageNumber="1"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Hướng dẫn</vt:lpstr>
      <vt:lpstr>Thông tin nhóm</vt:lpstr>
      <vt:lpstr>Week_01</vt:lpstr>
      <vt:lpstr>Week_02</vt:lpstr>
      <vt:lpstr>Week_03</vt:lpstr>
      <vt:lpstr>Week_04</vt:lpstr>
      <vt:lpstr>Week_05</vt:lpstr>
      <vt:lpstr>Week_06</vt:lpstr>
      <vt:lpstr>Week_07</vt:lpstr>
      <vt:lpstr>Week_08</vt:lpstr>
      <vt:lpstr>Week_09</vt:lpstr>
      <vt:lpstr>Week_10</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2026-05-29T14:09:10Z</dcterms:created>
  <dcterms:modified xsi:type="dcterms:W3CDTF">2026-07-22T08:21:28Z</dcterms:modified>
  <dc:language>en-US</dc:language>
</cp:coreProperties>
</file>