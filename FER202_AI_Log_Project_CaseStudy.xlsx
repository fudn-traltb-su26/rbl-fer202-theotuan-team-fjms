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2" activeTab="2" autoFilterDateGrouping="1"/>
  </bookViews>
  <sheets>
    <sheet xmlns:r="http://schemas.openxmlformats.org/officeDocument/2006/relationships" name="Hướng dẫn" sheetId="1" state="visible" r:id="rId1"/>
    <sheet xmlns:r="http://schemas.openxmlformats.org/officeDocument/2006/relationships" name="Thông tin nhóm" sheetId="2" state="visible" r:id="rId2"/>
    <sheet xmlns:r="http://schemas.openxmlformats.org/officeDocument/2006/relationships" name="Week_01" sheetId="3" state="visible" r:id="rId3"/>
    <sheet xmlns:r="http://schemas.openxmlformats.org/officeDocument/2006/relationships" name="Week_02" sheetId="4" state="visible" r:id="rId4"/>
    <sheet xmlns:r="http://schemas.openxmlformats.org/officeDocument/2006/relationships" name="Week_03" sheetId="5" state="visible" r:id="rId5"/>
    <sheet xmlns:r="http://schemas.openxmlformats.org/officeDocument/2006/relationships" name="Week_04" sheetId="6" state="visible" r:id="rId6"/>
    <sheet xmlns:r="http://schemas.openxmlformats.org/officeDocument/2006/relationships" name="Week_05" sheetId="7" state="visible" r:id="rId7"/>
    <sheet xmlns:r="http://schemas.openxmlformats.org/officeDocument/2006/relationships" name="Week_06" sheetId="8" state="visible" r:id="rId8"/>
    <sheet xmlns:r="http://schemas.openxmlformats.org/officeDocument/2006/relationships" name="Week_07" sheetId="9" state="visible" r:id="rId9"/>
    <sheet xmlns:r="http://schemas.openxmlformats.org/officeDocument/2006/relationships" name="Week_08" sheetId="10" state="visible" r:id="rId10"/>
    <sheet xmlns:r="http://schemas.openxmlformats.org/officeDocument/2006/relationships" name="Week_09" sheetId="11" state="visible" r:id="rId11"/>
    <sheet xmlns:r="http://schemas.openxmlformats.org/officeDocument/2006/relationships" name="Week_10" sheetId="12" state="visible" r:id="rId12"/>
    <sheet xmlns:r="http://schemas.openxmlformats.org/officeDocument/2006/relationships" name="Summary" sheetId="13" state="visible" r:id="rId13"/>
  </sheets>
  <definedNames/>
  <calcPr calcId="191029" fullCalcOnLoad="1" iterateDelta="0.0001"/>
</workbook>
</file>

<file path=xl/styles.xml><?xml version="1.0" encoding="utf-8"?>
<styleSheet xmlns="http://schemas.openxmlformats.org/spreadsheetml/2006/main">
  <numFmts count="0"/>
  <fonts count="19">
    <font>
      <name val="Calibri"/>
      <charset val="1"/>
      <family val="2"/>
      <color theme="1"/>
      <sz val="11"/>
    </font>
    <font>
      <name val="Arial"/>
      <charset val="1"/>
      <b val="1"/>
      <color rgb="FFFFFFFF"/>
      <sz val="16"/>
    </font>
    <font>
      <name val="Arial"/>
      <charset val="1"/>
      <i val="1"/>
      <color rgb="FFFFFFFF"/>
      <sz val="11"/>
    </font>
    <font>
      <name val="Arial"/>
      <charset val="1"/>
      <b val="1"/>
      <color rgb="FFFFFFFF"/>
      <sz val="11"/>
    </font>
    <font>
      <name val="Arial"/>
      <charset val="1"/>
      <color rgb="FF000000"/>
      <sz val="10"/>
    </font>
    <font>
      <name val="Arial"/>
      <charset val="1"/>
      <b val="1"/>
      <color rgb="FFFFFFFF"/>
      <sz val="15"/>
    </font>
    <font>
      <name val="Arial"/>
      <charset val="1"/>
      <b val="1"/>
      <color rgb="FF000000"/>
      <sz val="10"/>
    </font>
    <font>
      <name val="Arial"/>
      <charset val="1"/>
      <b val="1"/>
      <color rgb="FFFFFFFF"/>
      <sz val="14"/>
    </font>
    <font>
      <name val="Arial"/>
      <charset val="1"/>
      <i val="1"/>
      <color rgb="FF808080"/>
      <sz val="9"/>
    </font>
    <font>
      <name val="Arial"/>
      <charset val="1"/>
      <b val="1"/>
      <i val="1"/>
      <color rgb="FF000000"/>
      <sz val="10"/>
    </font>
    <font>
      <name val="Arial"/>
      <charset val="1"/>
      <i val="1"/>
      <color rgb="FFFFFFFF"/>
      <sz val="9"/>
    </font>
    <font>
      <name val="Arial"/>
      <charset val="1"/>
      <family val="2"/>
      <b val="1"/>
      <color rgb="FF000000"/>
      <sz val="10"/>
    </font>
    <font>
      <name val="Calibri"/>
      <charset val="1"/>
      <family val="2"/>
      <color theme="10"/>
      <sz val="11"/>
      <u val="single"/>
    </font>
    <font>
      <name val="Arial"/>
      <family val="2"/>
      <color rgb="FF000000"/>
      <sz val="10"/>
    </font>
    <font>
      <name val="Cambria"/>
      <family val="1"/>
      <b val="1"/>
      <color theme="1"/>
      <sz val="8"/>
      <scheme val="major"/>
    </font>
    <font>
      <name val="Arial"/>
      <family val="2"/>
      <b val="1"/>
      <color rgb="FF000000"/>
      <sz val="10"/>
    </font>
    <font>
      <name val="Arial"/>
      <family val="2"/>
      <i val="1"/>
      <color rgb="FF808080"/>
      <sz val="9"/>
    </font>
    <font>
      <name val="Segoe UI"/>
      <family val="2"/>
      <color rgb="FFCCCCCC"/>
      <sz val="8"/>
    </font>
    <font>
      <name val="Arial"/>
      <family val="2"/>
      <b val="1"/>
      <i val="1"/>
      <color rgb="FF000000"/>
      <sz val="10"/>
    </font>
  </fonts>
  <fills count="12">
    <fill>
      <patternFill/>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2" fillId="0" borderId="0"/>
  </cellStyleXfs>
  <cellXfs count="50">
    <xf numFmtId="0" fontId="0" fillId="0" borderId="0" pivotButton="0" quotePrefix="0" xfId="0"/>
    <xf numFmtId="0" fontId="6"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3" applyAlignment="1" pivotButton="0" quotePrefix="0" xfId="0">
      <alignment horizontal="left" vertical="center" wrapText="1"/>
    </xf>
    <xf numFmtId="0" fontId="4" fillId="0" borderId="1"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6" fillId="7" borderId="1" applyAlignment="1" pivotButton="0" quotePrefix="0" xfId="0">
      <alignment horizontal="center" vertical="center" wrapText="1"/>
    </xf>
    <xf numFmtId="0" fontId="12" fillId="0" borderId="1" applyAlignment="1" pivotButton="0" quotePrefix="0" xfId="1">
      <alignment horizontal="left" vertical="center" wrapText="1"/>
    </xf>
    <xf numFmtId="0" fontId="4" fillId="0" borderId="1" applyAlignment="1" pivotButton="0" quotePrefix="0" xfId="0">
      <alignment horizontal="left" vertical="center" wrapText="1"/>
    </xf>
    <xf numFmtId="0" fontId="13" fillId="0" borderId="1" applyAlignment="1" pivotButton="0" quotePrefix="0" xfId="0">
      <alignment horizontal="left" vertical="center" wrapText="1"/>
    </xf>
    <xf numFmtId="14" fontId="4" fillId="0" borderId="1" applyAlignment="1" pivotButton="0" quotePrefix="0" xfId="0">
      <alignment horizontal="left" vertical="center" wrapText="1"/>
    </xf>
    <xf numFmtId="0" fontId="12" fillId="0" borderId="0" pivotButton="0" quotePrefix="0" xfId="1"/>
    <xf numFmtId="0" fontId="14" fillId="0" borderId="0" pivotButton="0" quotePrefix="0" xfId="0"/>
    <xf numFmtId="0" fontId="13" fillId="0" borderId="1" applyAlignment="1" pivotButton="0" quotePrefix="0" xfId="0">
      <alignment horizontal="left" vertical="center" wrapText="1"/>
    </xf>
    <xf numFmtId="0" fontId="3" fillId="5" borderId="1" applyAlignment="1" pivotButton="0" quotePrefix="0" xfId="0">
      <alignment horizontal="left" vertical="center" wrapText="1"/>
    </xf>
    <xf numFmtId="0" fontId="0" fillId="0" borderId="5" pivotButton="0" quotePrefix="0" xfId="0"/>
    <xf numFmtId="0" fontId="1"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5" fillId="2" borderId="1" applyAlignment="1" pivotButton="0" quotePrefix="0" xfId="0">
      <alignment horizontal="center" vertical="center" wrapText="1"/>
    </xf>
    <xf numFmtId="0" fontId="6" fillId="0" borderId="2" applyAlignment="1" pivotButton="0" quotePrefix="0" xfId="0">
      <alignment horizontal="left" vertical="center" wrapText="1"/>
    </xf>
    <xf numFmtId="0" fontId="12" fillId="0" borderId="2" applyAlignment="1" pivotButton="0" quotePrefix="0" xfId="1">
      <alignment horizontal="left" vertical="center" wrapText="1"/>
    </xf>
    <xf numFmtId="0" fontId="16" fillId="0" borderId="4" applyAlignment="1" pivotButton="0" quotePrefix="0" xfId="0">
      <alignment horizontal="left" vertical="center" wrapText="1"/>
    </xf>
    <xf numFmtId="0" fontId="0" fillId="0" borderId="0" pivotButton="0" quotePrefix="0" xfId="0"/>
    <xf numFmtId="0" fontId="4" fillId="0" borderId="1" applyAlignment="1" pivotButton="0" quotePrefix="0" xfId="0">
      <alignment horizontal="left" vertical="center" wrapText="1"/>
    </xf>
    <xf numFmtId="0" fontId="15" fillId="8" borderId="1" applyAlignment="1" pivotButton="0" quotePrefix="0" xfId="0">
      <alignment horizontal="center" vertical="center" wrapText="1"/>
    </xf>
    <xf numFmtId="0" fontId="8"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8" fillId="0" borderId="4" applyAlignment="1" pivotButton="0" quotePrefix="0" xfId="0">
      <alignment horizontal="left" vertical="center" wrapText="1"/>
    </xf>
    <xf numFmtId="0" fontId="6" fillId="0" borderId="1" applyAlignment="1" pivotButton="0" quotePrefix="0" xfId="0">
      <alignment horizontal="left" vertical="center" wrapText="1"/>
    </xf>
    <xf numFmtId="0" fontId="6" fillId="11" borderId="1" applyAlignment="1" pivotButton="0" quotePrefix="0" xfId="0">
      <alignment horizontal="left" vertical="center" wrapText="1"/>
    </xf>
    <xf numFmtId="0" fontId="13" fillId="0" borderId="1" applyAlignment="1" pivotButton="0" quotePrefix="0" xfId="0">
      <alignment horizontal="left" vertical="center" wrapText="1"/>
    </xf>
    <xf numFmtId="0" fontId="6" fillId="8"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8" borderId="1" applyAlignment="1" pivotButton="0" quotePrefix="0" xfId="0">
      <alignment horizontal="left" vertical="center" wrapText="1"/>
    </xf>
    <xf numFmtId="0" fontId="10" fillId="2" borderId="1" applyAlignment="1" pivotButton="0" quotePrefix="0" xfId="0">
      <alignment horizontal="center" vertical="center" wrapText="1"/>
    </xf>
    <xf numFmtId="0" fontId="8" fillId="0" borderId="0" applyAlignment="1" pivotButton="0" quotePrefix="0" xfId="0">
      <alignment horizontal="center" vertical="center" wrapText="1"/>
    </xf>
    <xf numFmtId="0" fontId="7" fillId="2" borderId="1" applyAlignment="1" pivotButton="0" quotePrefix="0" xfId="0">
      <alignment horizontal="center" vertical="center" wrapText="1"/>
    </xf>
    <xf numFmtId="0" fontId="6" fillId="7" borderId="1" applyAlignment="1" pivotButton="0" quotePrefix="0" xfId="0">
      <alignment horizontal="center" vertical="center" wrapText="1"/>
    </xf>
    <xf numFmtId="0" fontId="3" fillId="10" borderId="1" applyAlignment="1" pivotButton="0" quotePrefix="0" xfId="0">
      <alignment horizontal="left" vertical="center" wrapText="1"/>
    </xf>
    <xf numFmtId="0" fontId="11" fillId="0" borderId="2" applyAlignment="1" pivotButton="0" quotePrefix="0" xfId="0">
      <alignment horizontal="left" vertical="center" wrapText="1"/>
    </xf>
    <xf numFmtId="0" fontId="17" fillId="0" borderId="0" pivotButton="0" quotePrefix="0" xfId="0"/>
    <xf numFmtId="0" fontId="16" fillId="0" borderId="1" applyAlignment="1" pivotButton="0" quotePrefix="0" xfId="0">
      <alignment horizontal="left" vertical="center" wrapText="1"/>
    </xf>
    <xf numFmtId="0" fontId="18" fillId="8" borderId="1"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benphilip11234@gmail.com" TargetMode="External" Id="rId1"/><Relationship Type="http://schemas.openxmlformats.org/officeDocument/2006/relationships/hyperlink" Target="mailto:vietnamnhungchuyendi@gmail.com" TargetMode="External" Id="rId2"/><Relationship Type="http://schemas.openxmlformats.org/officeDocument/2006/relationships/hyperlink" Target="mailto:Thoakieu309@gmail.com" TargetMode="External" Id="rId3"/><Relationship Type="http://schemas.openxmlformats.org/officeDocument/2006/relationships/hyperlink" Target="https://github.com/SUMMER2026SE/swp391-rbl-project-team_7-1.git" TargetMode="External" Id="rId4"/></Relationships>
</file>

<file path=xl/worksheets/_rels/sheet4.xml.rels><Relationships xmlns="http://schemas.openxmlformats.org/package/2006/relationships"><Relationship Type="http://schemas.openxmlformats.org/officeDocument/2006/relationships/hyperlink" Target="https://stitch.withgoogle.com/projects/12993772099176633908?pli=1" TargetMode="External" Id="rId1"/><Relationship Type="http://schemas.openxmlformats.org/officeDocument/2006/relationships/hyperlink" Target="https://stitch.withgoogle.com/projects/12993772099176633908?pli=1" TargetMode="External" Id="rId2"/></Relationships>
</file>

<file path=xl/worksheets/sheet1.xml><?xml version="1.0" encoding="utf-8"?>
<worksheet xmlns="http://schemas.openxmlformats.org/spreadsheetml/2006/main">
  <sheetPr>
    <outlinePr summaryBelow="1" summaryRight="1"/>
    <pageSetUpPr/>
  </sheetPr>
  <dimension ref="B2:C25"/>
  <sheetViews>
    <sheetView showGridLines="0" zoomScaleNormal="100" workbookViewId="0">
      <selection activeCell="A1" sqref="A1"/>
    </sheetView>
  </sheetViews>
  <sheetFormatPr baseColWidth="8" defaultColWidth="8.5546875" defaultRowHeight="14.4"/>
  <cols>
    <col width="3" customWidth="1" style="29" min="1" max="1"/>
    <col width="28" customWidth="1" style="29" min="2" max="2"/>
    <col width="84.44140625" customWidth="1" style="29" min="3" max="3"/>
  </cols>
  <sheetData>
    <row r="1" ht="13.5" customHeight="1" s="29"/>
    <row r="2" ht="36" customHeight="1" s="29">
      <c r="B2" s="19" t="inlineStr">
        <is>
          <t>FER202 — AI Log Template  |  Project Nhóm</t>
        </is>
      </c>
      <c r="C2" s="18" t="n"/>
    </row>
    <row r="3" ht="18" customHeight="1" s="29">
      <c r="B3" s="21" t="inlineStr">
        <is>
          <t>Hướng dẫn sử dụng  |  FPT University</t>
        </is>
      </c>
      <c r="C3" s="18" t="n"/>
    </row>
    <row r="5" ht="19.5" customHeight="1" s="29">
      <c r="B5" s="22" t="inlineStr">
        <is>
          <t>📌  MỤC ĐÍCH</t>
        </is>
      </c>
      <c r="C5" s="18" t="n"/>
    </row>
    <row r="6" ht="24.75" customHeight="1" s="29">
      <c r="B6" s="30" t="inlineStr">
        <is>
          <t>File này dùng để gì?</t>
        </is>
      </c>
      <c r="C6" s="30" t="inlineStr">
        <is>
          <t>Ghi lại nhật ký sử dụng AI của nhóm trong suốt project môn FER202 — theo từng tuần.</t>
        </is>
      </c>
    </row>
    <row r="7" ht="24.75" customHeight="1" s="29">
      <c r="B7" s="30" t="inlineStr">
        <is>
          <t>Ai điền?</t>
        </is>
      </c>
      <c r="C7" s="30" t="inlineStr">
        <is>
          <t>Mỗi thành viên tự điền phần của mình vào các bảng của tuần tương ứng. Trưởng nhóm tổng hợp và upload.</t>
        </is>
      </c>
    </row>
    <row r="8" ht="18" customHeight="1" s="29">
      <c r="B8" s="30" t="inlineStr">
        <is>
          <t>Nộp khi nào?</t>
        </is>
      </c>
      <c r="C8" s="30" t="inlineStr">
        <is>
          <t>Cuối mỗi tuần (hoặc theo deadline giảng viên). Một file duy nhất cho cả học kỳ.</t>
        </is>
      </c>
    </row>
    <row r="10" ht="19.5" customHeight="1" s="29">
      <c r="B10" s="23" t="inlineStr">
        <is>
          <t>📁  CÁC SHEET TRONG FILE</t>
        </is>
      </c>
      <c r="C10" s="18" t="n"/>
    </row>
    <row r="11">
      <c r="B11" s="30" t="inlineStr">
        <is>
          <t>Thông tin nhóm</t>
        </is>
      </c>
      <c r="C11" s="30" t="inlineStr">
        <is>
          <t>Điền 1 lần đầu học kỳ: tên nhóm, MSSV, phân công, mô tả project.</t>
        </is>
      </c>
    </row>
    <row r="12">
      <c r="B12" s="30" t="inlineStr">
        <is>
          <t>Week_01 → Week_10</t>
        </is>
      </c>
      <c r="C12" s="30" t="inlineStr">
        <is>
          <t>Mỗi tuần có 4 bảng: AI_Audit_Log, Changelog, Prompts, Reflection.</t>
        </is>
      </c>
    </row>
    <row r="13" ht="18" customHeight="1" s="29">
      <c r="B13" s="30" t="inlineStr">
        <is>
          <t>Summary</t>
        </is>
      </c>
      <c r="C13" s="30" t="inlineStr">
        <is>
          <t>Tổng hợp tự động (công thức) số lần dùng AI, mức hỗ trợ theo từng tuần/thành viên.</t>
        </is>
      </c>
    </row>
    <row r="15" ht="19.5" customHeight="1" s="29">
      <c r="B15" s="20" t="inlineStr">
        <is>
          <t>📝  4 BẢNG TRONG MỖI TUẦN</t>
        </is>
      </c>
      <c r="C15" s="18" t="n"/>
    </row>
    <row r="16" ht="24.75" customHeight="1" s="29">
      <c r="B16" s="30" t="inlineStr">
        <is>
          <t>BẢNG 1 — AI_AUDIT_LOG</t>
        </is>
      </c>
      <c r="C16" s="30" t="inlineStr">
        <is>
          <t>Ghi mỗi lần dùng AI: ngày, ai dùng, tool, mục đích, mức hỗ trợ, đã chỉnh sửa gì, kiểm chứng.</t>
        </is>
      </c>
    </row>
    <row r="17" ht="24.75" customHeight="1" s="29">
      <c r="B17" s="30" t="inlineStr">
        <is>
          <t>BẢNG 2 — CHANGELOG</t>
        </is>
      </c>
      <c r="C17" s="30" t="inlineStr">
        <is>
          <t>Ghi thay đổi project trong tuần (Added / Changed / Fixed / Removed). Không bắt buộc gắn với AI.</t>
        </is>
      </c>
    </row>
    <row r="18" ht="24.75" customHeight="1" s="29">
      <c r="B18" s="30" t="inlineStr">
        <is>
          <t>BẢNG 3 — PROMPTS</t>
        </is>
      </c>
      <c r="C18" s="30" t="inlineStr">
        <is>
          <t>Ghi chi tiết từng prompt quan trọng đã dùng: nội dung, kết quả AI trả về, cách nhóm sử dụng/chỉnh sửa.</t>
        </is>
      </c>
    </row>
    <row r="19" ht="24.75" customHeight="1" s="29">
      <c r="B19" s="30" t="inlineStr">
        <is>
          <t>BẢNG 4 — REFLECTION</t>
        </is>
      </c>
      <c r="C19" s="30" t="inlineStr">
        <is>
          <t>Mỗi thành viên viết 1 block suy ngẫm cá nhân cuối tuần (đã làm gì, AI hỗ trợ ra sao, điểm chưa tốt).</t>
        </is>
      </c>
    </row>
    <row r="21" ht="19.5" customHeight="1" s="29">
      <c r="B21" s="17" t="inlineStr">
        <is>
          <t>✅  QUY ƯỚC</t>
        </is>
      </c>
      <c r="C21" s="18" t="n"/>
    </row>
    <row r="22">
      <c r="B22" s="30" t="inlineStr">
        <is>
          <t>Cột TV</t>
        </is>
      </c>
      <c r="C22" s="30" t="inlineStr">
        <is>
          <t>Dùng ký hiệu A / B / C / D / E (khớp với bảng Thông tin nhóm).</t>
        </is>
      </c>
    </row>
    <row r="23" ht="24.75" customHeight="1" s="29">
      <c r="B23" s="30" t="inlineStr">
        <is>
          <t>Mức hỗ trợ AI</t>
        </is>
      </c>
      <c r="C23" s="30" t="inlineStr">
        <is>
          <t>Low = AI gợi ý nhỏ  |  Medium = AI đóng góp đáng kể  |  High = AI tạo phần lớn nội dung</t>
        </is>
      </c>
    </row>
    <row r="24" ht="18" customHeight="1" s="29">
      <c r="B24" s="30" t="inlineStr">
        <is>
          <t>Loại Changelog</t>
        </is>
      </c>
      <c r="C24" s="30" t="inlineStr">
        <is>
          <t>Added = thêm mới  |  Changed = cải tiến  |  Fixed = sửa lỗi  |  Removed = xóa bỏ</t>
        </is>
      </c>
    </row>
    <row r="25" ht="18" customHeight="1" s="29">
      <c r="B25" s="30" t="inlineStr">
        <is>
          <t>(*) bắt buộc</t>
        </is>
      </c>
      <c r="C25" s="30" t="inlineStr">
        <is>
          <t>Các cột đánh dấu (*) là bắt buộc phải điền.</t>
        </is>
      </c>
    </row>
  </sheetData>
  <mergeCells count="6">
    <mergeCell ref="B21:C21"/>
    <mergeCell ref="B2:C2"/>
    <mergeCell ref="B15:C15"/>
    <mergeCell ref="B3:C3"/>
    <mergeCell ref="B5:C5"/>
    <mergeCell ref="B10:C1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4"/>
  <sheetViews>
    <sheetView showGridLines="0" zoomScaleNormal="100" workbookViewId="0">
      <selection activeCell="H28" sqref="H28"/>
    </sheetView>
  </sheetViews>
  <sheetFormatPr baseColWidth="8" defaultColWidth="8.5546875" defaultRowHeight="14.4"/>
  <cols>
    <col width="3" customWidth="1" style="29" min="1" max="1"/>
    <col width="24" customWidth="1" style="29" min="2" max="2"/>
    <col width="32.88671875" customWidth="1" style="29" min="3" max="3"/>
    <col width="18" customWidth="1" style="29" min="4" max="4"/>
    <col width="33.44140625" customWidth="1" style="29" min="5" max="5"/>
    <col width="18" customWidth="1" style="29" min="6" max="6"/>
    <col width="20" customWidth="1" style="29" min="7" max="7"/>
  </cols>
  <sheetData>
    <row r="1" ht="13.5" customHeight="1" s="29"/>
    <row r="2" ht="36" customHeight="1" s="29">
      <c r="B2" s="25" t="inlineStr">
        <is>
          <t>THÔNG TIN NHÓM — FER202</t>
        </is>
      </c>
      <c r="C2" s="24" t="n"/>
      <c r="D2" s="24" t="n"/>
      <c r="E2" s="24" t="n"/>
      <c r="F2" s="24" t="n"/>
      <c r="G2" s="18" t="n"/>
    </row>
    <row r="3" ht="19.5" customHeight="1" s="29">
      <c r="B3" s="23" t="inlineStr">
        <is>
          <t>📋  Thông tin lớp</t>
        </is>
      </c>
      <c r="C3" s="24" t="n"/>
      <c r="D3" s="24" t="n"/>
      <c r="E3" s="24" t="n"/>
      <c r="F3" s="24" t="n"/>
      <c r="G3" s="18" t="n"/>
    </row>
    <row r="4" ht="18" customHeight="1" s="29">
      <c r="B4" s="26" t="inlineStr">
        <is>
          <t>Mã lớp học</t>
        </is>
      </c>
      <c r="C4" s="26" t="inlineStr">
        <is>
          <t>FER202_SE20A07</t>
        </is>
      </c>
      <c r="D4" s="24" t="n"/>
      <c r="E4" s="24" t="n"/>
      <c r="F4" s="24" t="n"/>
      <c r="G4" s="24" t="n"/>
    </row>
    <row r="5" ht="18" customHeight="1" s="29">
      <c r="B5" s="26" t="inlineStr">
        <is>
          <t>Giảng viên</t>
        </is>
      </c>
      <c r="C5" s="26" t="inlineStr">
        <is>
          <t>Lê Thị Bích Tra  —  traltb@fe.edu.vn</t>
        </is>
      </c>
      <c r="D5" s="24" t="n"/>
      <c r="E5" s="24" t="n"/>
      <c r="F5" s="24" t="n"/>
      <c r="G5" s="24" t="n"/>
    </row>
    <row r="6" ht="18" customHeight="1" s="29">
      <c r="B6" s="26" t="inlineStr">
        <is>
          <t>Học kỳ / Năm học</t>
        </is>
      </c>
      <c r="C6" s="26" t="inlineStr">
        <is>
          <t>SU26</t>
        </is>
      </c>
      <c r="D6" s="24" t="n"/>
      <c r="E6" s="24" t="n"/>
      <c r="F6" s="24" t="n"/>
      <c r="G6" s="24" t="n"/>
    </row>
    <row r="7" ht="18" customHeight="1" s="29">
      <c r="B7" s="26" t="inlineStr">
        <is>
          <t>Tên nhóm</t>
        </is>
      </c>
      <c r="C7" s="26" t="inlineStr">
        <is>
          <t>FJMS</t>
        </is>
      </c>
      <c r="D7" s="24" t="n"/>
      <c r="E7" s="24" t="n"/>
      <c r="F7" s="24" t="n"/>
      <c r="G7" s="24" t="n"/>
    </row>
    <row r="8" ht="18" customHeight="1" s="29">
      <c r="B8" s="26" t="inlineStr">
        <is>
          <t>Số thành viên</t>
        </is>
      </c>
      <c r="C8" s="26" t="n">
        <v>3</v>
      </c>
      <c r="D8" s="24" t="n"/>
      <c r="E8" s="24" t="n"/>
      <c r="F8" s="24" t="n"/>
      <c r="G8" s="24" t="n"/>
    </row>
    <row r="10" ht="19.5" customHeight="1" s="29">
      <c r="B10" s="23" t="inlineStr">
        <is>
          <t>👥  Danh sách thành viên</t>
        </is>
      </c>
      <c r="C10" s="24" t="n"/>
      <c r="D10" s="24" t="n"/>
      <c r="E10" s="24" t="n"/>
      <c r="F10" s="24" t="n"/>
      <c r="G10" s="18" t="n"/>
    </row>
    <row r="11">
      <c r="B11" s="1" t="inlineStr">
        <is>
          <t>Ký hiệu (*)</t>
        </is>
      </c>
      <c r="C11" s="1" t="inlineStr">
        <is>
          <t>Họ và tên (*)</t>
        </is>
      </c>
      <c r="D11" s="1" t="inlineStr">
        <is>
          <t>MSSV (*)</t>
        </is>
      </c>
      <c r="E11" s="1" t="inlineStr">
        <is>
          <t>Email (*)</t>
        </is>
      </c>
      <c r="F11" s="1" t="inlineStr">
        <is>
          <t>Vai trò</t>
        </is>
      </c>
      <c r="G11" s="1" t="inlineStr">
        <is>
          <t>Ghi chú</t>
        </is>
      </c>
    </row>
    <row r="12" ht="18" customHeight="1" s="29">
      <c r="B12" s="2" t="inlineStr">
        <is>
          <t>A</t>
        </is>
      </c>
      <c r="C12" s="30" t="inlineStr">
        <is>
          <t>Phan Hữu Linh</t>
        </is>
      </c>
      <c r="D12" s="30" t="inlineStr">
        <is>
          <t>DE191102</t>
        </is>
      </c>
      <c r="E12" s="10" t="inlineStr">
        <is>
          <t>benphilip11234@gmail.com</t>
        </is>
      </c>
      <c r="F12" s="30" t="inlineStr">
        <is>
          <t>Trưởng nhóm</t>
        </is>
      </c>
      <c r="G12" s="30" t="n"/>
    </row>
    <row r="13" ht="18" customHeight="1" s="29">
      <c r="B13" s="2" t="inlineStr">
        <is>
          <t>B</t>
        </is>
      </c>
      <c r="C13" s="30" t="inlineStr">
        <is>
          <t>Nguyễn Đăng Khang Huy</t>
        </is>
      </c>
      <c r="D13" s="30" t="inlineStr">
        <is>
          <t>DE190258</t>
        </is>
      </c>
      <c r="E13" s="10" t="inlineStr">
        <is>
          <t>vietnamnhungchuyendi@gmail.com</t>
        </is>
      </c>
      <c r="F13" s="30" t="inlineStr">
        <is>
          <t>Thành viên</t>
        </is>
      </c>
      <c r="G13" s="30" t="n"/>
    </row>
    <row r="14" ht="18" customHeight="1" s="29">
      <c r="B14" s="2" t="inlineStr">
        <is>
          <t>C</t>
        </is>
      </c>
      <c r="C14" s="30" t="inlineStr">
        <is>
          <t>Kiều Thị Kim Thoa</t>
        </is>
      </c>
      <c r="D14" s="30" t="inlineStr">
        <is>
          <t>DE190363</t>
        </is>
      </c>
      <c r="E14" s="10" t="inlineStr">
        <is>
          <t>Thoakieu309@gmail.com</t>
        </is>
      </c>
      <c r="F14" s="30" t="inlineStr">
        <is>
          <t>Thành viên</t>
        </is>
      </c>
      <c r="G14" s="30" t="n"/>
    </row>
    <row r="15" ht="18" customHeight="1" s="29">
      <c r="B15" s="2" t="inlineStr">
        <is>
          <t>D</t>
        </is>
      </c>
      <c r="C15" s="30" t="n"/>
      <c r="D15" s="30" t="n"/>
      <c r="E15" s="30" t="n"/>
      <c r="F15" s="30" t="inlineStr">
        <is>
          <t>Thành viên</t>
        </is>
      </c>
      <c r="G15" s="30" t="n"/>
    </row>
    <row r="16" ht="18" customHeight="1" s="29">
      <c r="B16" s="2" t="inlineStr">
        <is>
          <t>E</t>
        </is>
      </c>
      <c r="C16" s="30" t="n"/>
      <c r="D16" s="30" t="n"/>
      <c r="E16" s="30" t="n"/>
      <c r="F16" s="30" t="inlineStr">
        <is>
          <t>Thành viên</t>
        </is>
      </c>
      <c r="G16" s="30" t="n"/>
    </row>
    <row r="18" ht="19.5" customHeight="1" s="29">
      <c r="B18" s="17" t="inlineStr">
        <is>
          <t>💡  Mô tả dự án</t>
        </is>
      </c>
      <c r="C18" s="24" t="n"/>
      <c r="D18" s="24" t="n"/>
      <c r="E18" s="24" t="n"/>
      <c r="F18" s="24" t="n"/>
      <c r="G18" s="18" t="n"/>
    </row>
    <row r="19" ht="19.5" customHeight="1" s="29">
      <c r="B19" s="35" t="inlineStr">
        <is>
          <t>Tên hệ thống</t>
        </is>
      </c>
      <c r="C19" s="26" t="inlineStr">
        <is>
          <t>Freelancer Job Matching System (FJMS)</t>
        </is>
      </c>
      <c r="D19" s="24" t="n"/>
      <c r="E19" s="24" t="n"/>
      <c r="F19" s="24" t="n"/>
      <c r="G19" s="24" t="n"/>
    </row>
    <row r="20" ht="57" customHeight="1" s="29">
      <c r="B20" s="35" t="inlineStr">
        <is>
          <t>Mô tả ngắn</t>
        </is>
      </c>
      <c r="C20" s="26" t="inlineStr">
        <is>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is>
      </c>
      <c r="D20" s="24" t="n"/>
      <c r="E20" s="24" t="n"/>
      <c r="F20" s="24" t="n"/>
      <c r="G20" s="24" t="n"/>
    </row>
    <row r="21" ht="65.25" customHeight="1" s="29">
      <c r="B21" s="35" t="inlineStr">
        <is>
          <t>Công nghệ sử dụng</t>
        </is>
      </c>
      <c r="C21" s="26" t="inlineStr">
        <is>
          <t>Frontend: ReactJS, TailwindCSS, Axios, React Router DOM
Backend: NodeJS, ExpressJS, JWT Authentication, Socket.io
Database: Microsoft SQL Server
External Services: VNPay API, Email Service (OTP Verification)</t>
        </is>
      </c>
      <c r="D21" s="24" t="n"/>
      <c r="E21" s="24" t="n"/>
      <c r="F21" s="24" t="n"/>
      <c r="G21" s="24" t="n"/>
    </row>
    <row r="22" ht="19.5" customHeight="1" s="29">
      <c r="B22" s="35" t="inlineStr">
        <is>
          <t>Link repo (GitHub/GitLab)</t>
        </is>
      </c>
      <c r="C22" s="27" t="inlineStr">
        <is>
          <t>https://github.com/SUMMER2026SE/swp391-rbl-project-team_7-1.git</t>
        </is>
      </c>
      <c r="D22" s="24" t="n"/>
      <c r="E22" s="24" t="n"/>
      <c r="F22" s="24" t="n"/>
      <c r="G22" s="24" t="n"/>
    </row>
    <row r="23" ht="19.5" customHeight="1" s="29">
      <c r="B23" s="35" t="inlineStr">
        <is>
          <t>Link Jira</t>
        </is>
      </c>
      <c r="C23" s="26" t="n"/>
      <c r="D23" s="3" t="n"/>
      <c r="E23" s="3" t="n"/>
      <c r="F23" s="3" t="n"/>
      <c r="G23" s="3" t="n"/>
    </row>
    <row r="24" ht="19.5" customHeight="1" s="29">
      <c r="B24" s="35" t="inlineStr">
        <is>
          <t>Link demo</t>
        </is>
      </c>
      <c r="C24" s="26" t="n"/>
      <c r="D24" s="24" t="n"/>
      <c r="E24" s="24" t="n"/>
      <c r="F24" s="24" t="n"/>
      <c r="G24" s="24" t="n"/>
    </row>
  </sheetData>
  <mergeCells count="14">
    <mergeCell ref="B3:G3"/>
    <mergeCell ref="B2:G2"/>
    <mergeCell ref="C21:G21"/>
    <mergeCell ref="C4:G4"/>
    <mergeCell ref="C20:G20"/>
    <mergeCell ref="C7:G7"/>
    <mergeCell ref="B10:G10"/>
    <mergeCell ref="C6:G6"/>
    <mergeCell ref="C24:G24"/>
    <mergeCell ref="C5:G5"/>
    <mergeCell ref="C19:G19"/>
    <mergeCell ref="B18:G18"/>
    <mergeCell ref="C22:G22"/>
    <mergeCell ref="C8:G8"/>
  </mergeCells>
  <hyperlinks>
    <hyperlink xmlns:r="http://schemas.openxmlformats.org/officeDocument/2006/relationships" ref="E12" r:id="rId1"/>
    <hyperlink xmlns:r="http://schemas.openxmlformats.org/officeDocument/2006/relationships" ref="E13" r:id="rId2"/>
    <hyperlink xmlns:r="http://schemas.openxmlformats.org/officeDocument/2006/relationships" ref="E14" r:id="rId3"/>
    <hyperlink xmlns:r="http://schemas.openxmlformats.org/officeDocument/2006/relationships" ref="C22" r:id="rId4"/>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I94"/>
  <sheetViews>
    <sheetView showGridLines="0" tabSelected="1" topLeftCell="A85" zoomScaleNormal="100" workbookViewId="0">
      <selection activeCell="E111" sqref="E11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2026-06-23</t>
        </is>
      </c>
      <c r="C8" s="30" t="inlineStr">
        <is>
          <t>A</t>
        </is>
      </c>
      <c r="D8" s="37" t="inlineStr">
        <is>
          <t>Gemini</t>
        </is>
      </c>
      <c r="E8" s="30" t="inlineStr">
        <is>
          <t>Khởi tạo Vite project, cấu hình thư mục dự án và cài đặt bootstrap, router, axios</t>
        </is>
      </c>
      <c r="F8" s="30" t="inlineStr">
        <is>
          <t>package.json, src/</t>
        </is>
      </c>
      <c r="G8" s="30" t="inlineStr">
        <is>
          <t>High</t>
        </is>
      </c>
      <c r="H8" s="30" t="inlineStr">
        <is>
          <t>Kiểm tra script npm run dev và cấu hình Vite</t>
        </is>
      </c>
      <c r="I8" s="30" t="inlineStr">
        <is>
          <t>Dev server chạy thành công</t>
        </is>
      </c>
    </row>
    <row r="9" ht="18" customHeight="1" s="29">
      <c r="B9" s="30" t="inlineStr">
        <is>
          <t>2026-06-23</t>
        </is>
      </c>
      <c r="C9" s="30" t="inlineStr">
        <is>
          <t>A</t>
        </is>
      </c>
      <c r="D9" s="37" t="inlineStr">
        <is>
          <t>Gemini</t>
        </is>
      </c>
      <c r="E9" s="30" t="inlineStr">
        <is>
          <t>Vẽ sơ đồ Component Tree cho dự án FJMS</t>
        </is>
      </c>
      <c r="F9" s="30" t="inlineStr">
        <is>
          <t>Week01/docs/component-tree.png</t>
        </is>
      </c>
      <c r="G9" s="30" t="inlineStr">
        <is>
          <t>Medium</t>
        </is>
      </c>
      <c r="H9" s="30" t="inlineStr">
        <is>
          <t>Thêm nhánh SavedProjectsModal vào sơ đồ</t>
        </is>
      </c>
      <c r="I9" s="30" t="inlineStr">
        <is>
          <t>Sơ đồ phân cấp chuẩn hóa</t>
        </is>
      </c>
    </row>
    <row r="10" ht="18" customHeight="1" s="29">
      <c r="B10" s="13" t="inlineStr">
        <is>
          <t>2026-06-23</t>
        </is>
      </c>
      <c r="C10" s="30" t="inlineStr">
        <is>
          <t>A</t>
        </is>
      </c>
      <c r="D10" s="37" t="inlineStr">
        <is>
          <t>Gemini</t>
        </is>
      </c>
      <c r="E10" s="30" t="inlineStr">
        <is>
          <t>Viết README.md tài liệu hướng dẫn setup dự án</t>
        </is>
      </c>
      <c r="F10" s="30" t="inlineStr">
        <is>
          <t>README.md</t>
        </is>
      </c>
      <c r="G10" s="30" t="inlineStr">
        <is>
          <t>Low</t>
        </is>
      </c>
      <c r="H10" s="30" t="inlineStr">
        <is>
          <t>Bổ sung hướng dẫn cài đặt thư viện</t>
        </is>
      </c>
      <c r="I10" s="30" t="inlineStr">
        <is>
          <t>File README rõ ràng</t>
        </is>
      </c>
    </row>
    <row r="11" ht="18" customHeight="1" s="29">
      <c r="B11" s="13" t="inlineStr">
        <is>
          <t>2026-06-23</t>
        </is>
      </c>
      <c r="C11" s="37" t="inlineStr">
        <is>
          <t>B</t>
        </is>
      </c>
      <c r="D11" s="37" t="inlineStr">
        <is>
          <t>Stitch</t>
        </is>
      </c>
      <c r="E11" t="inlineStr">
        <is>
          <t>Lên ý tưởng và vẽ phác thảo giao diện Trang chủ (Hero section)</t>
        </is>
      </c>
      <c r="F11" s="37" t="inlineStr">
        <is>
          <t>docs/mockup/Home_Page.png</t>
        </is>
      </c>
      <c r="G11" t="inlineStr">
        <is>
          <t>High</t>
        </is>
      </c>
      <c r="H11" s="37" t="inlineStr">
        <is>
          <t>Chỉnh sửa tông màu chủ đạo Emerald Green #059669</t>
        </is>
      </c>
      <c r="I11" s="30" t="inlineStr">
        <is>
          <t>Mockup đạt tiêu chí SWP</t>
        </is>
      </c>
    </row>
    <row r="12" ht="18" customHeight="1" s="29">
      <c r="B12" s="13" t="inlineStr">
        <is>
          <t>2026-06-23</t>
        </is>
      </c>
      <c r="C12" s="30" t="inlineStr">
        <is>
          <t>C</t>
        </is>
      </c>
      <c r="D12" s="30" t="inlineStr">
        <is>
          <t>Figma</t>
        </is>
      </c>
      <c r="E12" s="30" t="inlineStr">
        <is>
          <t>Thống nhất và đặc tả Style Guide chung của nhóm (màu #059669, font Inter)</t>
        </is>
      </c>
      <c r="F12" s="30" t="inlineStr">
        <is>
          <t>docs/mockup/style-guide.md</t>
        </is>
      </c>
      <c r="G12" s="30" t="inlineStr">
        <is>
          <t>Medium</t>
        </is>
      </c>
      <c r="H12" s="30" t="inlineStr">
        <is>
          <t>Bổ sung quy chuẩn typography và button styles</t>
        </is>
      </c>
      <c r="I12" s="30" t="inlineStr">
        <is>
          <t>Đã review với nhóm</t>
        </is>
      </c>
    </row>
    <row r="13" ht="18" customHeight="1" s="29">
      <c r="B13" s="13" t="inlineStr">
        <is>
          <t>2026-06-23</t>
        </is>
      </c>
      <c r="C13" s="30" t="inlineStr">
        <is>
          <t>C</t>
        </is>
      </c>
      <c r="D13" s="30" t="inlineStr">
        <is>
          <t>Figma</t>
        </is>
      </c>
      <c r="E13" s="30" t="inlineStr">
        <is>
          <t>Soạn thảo prompt mô tả chi tiết giao diện màn Chi tiết dự án và Dự án đã lưu</t>
        </is>
      </c>
      <c r="F13" s="30" t="inlineStr">
        <is>
          <t>docs/mockup/prompts.md</t>
        </is>
      </c>
      <c r="G13" s="30" t="inlineStr">
        <is>
          <t>Low</t>
        </is>
      </c>
      <c r="H13" s="30" t="inlineStr">
        <is>
          <t>Thêm các trường thông tin ngân sách VND và skills</t>
        </is>
      </c>
      <c r="I13" s="30" t="inlineStr">
        <is>
          <t>Prompt log đầy đủ</t>
        </is>
      </c>
    </row>
    <row r="14" ht="18" customHeight="1" s="29">
      <c r="B14" s="13" t="n">
        <v>46196</v>
      </c>
      <c r="C14" s="30" t="inlineStr">
        <is>
          <t>C</t>
        </is>
      </c>
      <c r="D14" s="30" t="inlineStr">
        <is>
          <t>Gemini</t>
        </is>
      </c>
      <c r="E14" s="30" t="inlineStr">
        <is>
          <t>Tạo hình ảnh mockup thiết kế trực quan có độ phân giải cao cho 2 màn hình Chi tiết dự án và Dự án đã lưu.</t>
        </is>
      </c>
      <c r="F14" s="30" t="inlineStr">
        <is>
          <t>Week01/docs/mockup/</t>
        </is>
      </c>
      <c r="G14" s="30" t="inlineStr">
        <is>
          <t>High</t>
        </is>
      </c>
      <c r="H14" s="30" t="inlineStr">
        <is>
          <t>Tạo 2 ảnh PNG mô tả giao diện chi tiết dự án (bố cục 2 cột) và giao diện quản lý danh sách dự án đã lưu của freelancer.</t>
        </is>
      </c>
      <c r="I14" s="30" t="inlineStr">
        <is>
          <t>File project_details.png, saved_projects.png</t>
        </is>
      </c>
    </row>
    <row r="15" ht="18" customHeight="1" s="29">
      <c r="B15" s="13" t="n">
        <v>46196</v>
      </c>
      <c r="C15" s="30" t="inlineStr">
        <is>
          <t>C</t>
        </is>
      </c>
      <c r="D15" s="30" t="inlineStr">
        <is>
          <t>Gemini</t>
        </is>
      </c>
      <c r="E15" s="30" t="inlineStr">
        <is>
          <t>Xây dựng tài liệu bàn giao mockup sang code (Handoff Document) ánh xạ phân vùng sang React component.</t>
        </is>
      </c>
      <c r="F15" s="30" t="inlineStr">
        <is>
          <t>Week01/docs/mockup/handoff.md</t>
        </is>
      </c>
      <c r="G15" s="30" t="inlineStr">
        <is>
          <t>High</t>
        </is>
      </c>
      <c r="H15" s="30" t="inlineStr">
        <is>
          <t>Xác định các component tương ứng sẽ lập trình (ProjectDetailPage, SkillBadge, SavedProjectsTable) và phân chia tuần thực hiện.</t>
        </is>
      </c>
      <c r="I15" s="30" t="inlineStr">
        <is>
          <t>File handoff.md</t>
        </is>
      </c>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Khởi tạo repo git và setup ban đầu dự án ReactJS + Vite</t>
        </is>
      </c>
      <c r="E21" s="30" t="n"/>
      <c r="F21" s="30" t="n"/>
      <c r="G21" s="30" t="inlineStr">
        <is>
          <t>package.json, src/</t>
        </is>
      </c>
      <c r="H21" s="30" t="n"/>
      <c r="I21" s="30" t="inlineStr">
        <is>
          <t>Khởi tạo thành công</t>
        </is>
      </c>
    </row>
    <row r="22" ht="18" customHeight="1" s="29">
      <c r="B22" s="30" t="n"/>
      <c r="C22" s="37" t="inlineStr">
        <is>
          <t>B</t>
        </is>
      </c>
      <c r="D22" s="30" t="inlineStr">
        <is>
          <t>Tích hợp file db.json chứa 8 dự án tuyển dụng và 5 danh mục ngành nghề của FJMS</t>
        </is>
      </c>
      <c r="E22" s="30" t="n"/>
      <c r="F22" s="30" t="n"/>
      <c r="G22" s="30" t="inlineStr">
        <is>
          <t>db.json</t>
        </is>
      </c>
      <c r="H22" s="30" t="n"/>
      <c r="I22" s="30" t="inlineStr">
        <is>
          <t>Phục vụ cho việc chạy thử json-server</t>
        </is>
      </c>
    </row>
    <row r="23" ht="18" customHeight="1" s="29">
      <c r="B23" s="30" t="n"/>
      <c r="C23" s="30" t="inlineStr">
        <is>
          <t>C</t>
        </is>
      </c>
      <c r="D23" s="30" t="inlineStr">
        <is>
          <t>Thêm tài liệu hướng dẫn thiết kế (Style Guide) định nghĩa màu sắc, font chữ và quy chuẩn chung cho dự án FJMS.</t>
        </is>
      </c>
      <c r="E23" s="30" t="n"/>
      <c r="F23" s="30" t="n"/>
      <c r="G23" s="30" t="inlineStr">
        <is>
          <t>Week01/docs/mockup/style-guide.md</t>
        </is>
      </c>
      <c r="H23" s="30" t="n"/>
      <c r="I23" s="30" t="inlineStr">
        <is>
          <t>Thống nhất sử dụng tông màu Emerald Green (#059669) và font Inter.</t>
        </is>
      </c>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inlineStr">
        <is>
          <t>Đồng bộ hóa các đường dẫn và cập nhật file TODO.md theo cấu trúc 3 thành viên</t>
        </is>
      </c>
      <c r="E25" s="30" t="n"/>
      <c r="F25" s="30" t="n"/>
      <c r="G25" s="30" t="inlineStr">
        <is>
          <t>TODO.md</t>
        </is>
      </c>
      <c r="H25" s="30" t="n"/>
      <c r="I25" s="30" t="inlineStr">
        <is>
          <t>Đồng bộ hoàn tất các tuần</t>
        </is>
      </c>
    </row>
    <row r="26" ht="18" customHeight="1" s="29">
      <c r="B26" s="30" t="n"/>
      <c r="C26" s="37" t="inlineStr">
        <is>
          <t>B</t>
        </is>
      </c>
      <c r="D26" s="37" t="inlineStr">
        <is>
          <t>Thiết kế bản vẽ Mockup cho giao diện Trang chủ và Trang danh sách dự án; Lập bảng màu Style Guide.</t>
        </is>
      </c>
      <c r="E26" s="30" t="n"/>
      <c r="F26" s="30" t="n"/>
      <c r="G26" s="37" t="inlineStr">
        <is>
          <t>docs/mockup/Home_Page.png, docs/mockup/Project_List.png, docs/mockup/style-guide.md</t>
        </is>
      </c>
      <c r="H26" s="30" t="n"/>
      <c r="I26" s="37" t="inlineStr">
        <is>
          <t>Đã chốt mã màu chủ đạo là Emerald Green (#059669).</t>
        </is>
      </c>
    </row>
    <row r="27" ht="18" customHeight="1" s="29">
      <c r="B27" s="30" t="n"/>
      <c r="C27" s="30" t="inlineStr">
        <is>
          <t>C</t>
        </is>
      </c>
      <c r="D27" s="30" t="inlineStr">
        <is>
          <t>Cập nhật checklist tiến độ và bảng theo dõi tiến độ tuần 1.</t>
        </is>
      </c>
      <c r="E27" s="30" t="n"/>
      <c r="F27" s="30" t="n"/>
      <c r="G27" s="30" t="inlineStr">
        <is>
          <t>TODO.md</t>
        </is>
      </c>
      <c r="H27" s="30" t="n"/>
      <c r="I27" s="30" t="inlineStr">
        <is>
          <t>Đánh dấu hoàn thành các nhiệm vụ thiết kế giao diện của Thành viên C.</t>
        </is>
      </c>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Gemini4.0)</t>
        </is>
      </c>
      <c r="C40" s="24" t="n"/>
      <c r="D40" s="18" t="n"/>
      <c r="E40" s="30" t="inlineStr">
        <is>
          <t>Nhờ AI hướng dẫn cách cài đặt và cấu trúc một dự án ReactJS dùng Vite cho môn FER202, có cài thêm Bootstrap, Axios và Router DOM. Chỉ cách chia folder sao cho sạch và dễ quản lý nhóm.</t>
        </is>
      </c>
      <c r="F40" s="24" t="n"/>
      <c r="G40" s="24" t="n"/>
      <c r="H40" s="24" t="n"/>
      <c r="I40" s="18" t="n"/>
    </row>
    <row r="41" ht="21.75" customHeight="1" s="29">
      <c r="B41" s="32" t="inlineStr">
        <is>
          <t>Kết quả AI trả về và vấn đề gặp phải:</t>
        </is>
      </c>
      <c r="C41" s="24" t="n"/>
      <c r="D41" s="18" t="n"/>
      <c r="E41" s="30" t="inlineStr">
        <is>
          <t>AI nó chỉ các câu lệnh npm cài đặt rất nhanh, và đưa ra cấu trúc thư mục chuẩn. Tuy nhiên, nó bị lỗi thời khi vẫn khuyên dùng Create React App (CRA) dù cái này đã bị deprecated từ lâu. Ngoài ra, nó gợi ý nhét cả Redux và Context cùng lúc ngay từ tuần đầu làm code rất rối và thừa thãi.</t>
        </is>
      </c>
      <c r="F41" s="24" t="n"/>
      <c r="G41" s="24" t="n"/>
      <c r="H41" s="24" t="n"/>
      <c r="I41" s="18" t="n"/>
    </row>
    <row r="42" ht="21.75" customHeight="1" s="29">
      <c r="B42" s="32" t="inlineStr">
        <is>
          <t>Nhóm đã chỉnh sửa / sử dụng như thế nào:</t>
        </is>
      </c>
      <c r="C42" s="24" t="n"/>
      <c r="D42" s="18" t="n"/>
      <c r="E42" s="30" t="inlineStr">
        <is>
          <t>Nhóm quyết định bỏ qua gợi ý CRA, dùng Vite chạy cho nhẹ. Thư mục src chia thành các folder con: components, pages, hooks, services, context. Chưa tạo folder store/redux vì tuần 1 chưa cần quản lý state phức tạp đến thế.</t>
        </is>
      </c>
      <c r="F42" s="24" t="n"/>
      <c r="G42" s="24" t="n"/>
      <c r="H42" s="24" t="n"/>
      <c r="I42" s="18" t="n"/>
    </row>
    <row r="43" ht="21.75" customHeight="1" s="29">
      <c r="B43" s="32" t="inlineStr">
        <is>
          <t>Kiểm chứng (test pass/fail, kết quả đúng không):</t>
        </is>
      </c>
      <c r="C43" s="24" t="n"/>
      <c r="D43" s="18" t="n"/>
      <c r="E43" s="30" t="inlineStr">
        <is>
          <t>Chạy thử npm run dev thấy lên trang mặc định của Vite, vào tab Console kiểm tra không thấy báo lỗi đỏ nào.</t>
        </is>
      </c>
      <c r="F43" s="24" t="n"/>
      <c r="G43" s="24" t="n"/>
      <c r="H43" s="24" t="n"/>
      <c r="I43" s="18" t="n"/>
    </row>
    <row r="44" ht="21.75" customHeight="1" s="29">
      <c r="B44" s="31" t="inlineStr">
        <is>
          <t>Prompt #2 (B--ChatGPT)</t>
        </is>
      </c>
      <c r="C44" s="24" t="n"/>
      <c r="D44" s="18" t="n"/>
      <c r="E44" s="37" t="inlineStr">
        <is>
          <t>Generate a UI mockup for a project card showing job details. Include project title, category, budget, duration, and a 'Submit Proposal' button. Style should use rounded corners (12px), drop shadows, and lots of whitespace.</t>
        </is>
      </c>
      <c r="F44" s="24" t="n"/>
      <c r="G44" s="24" t="n"/>
      <c r="H44" s="24" t="n"/>
      <c r="I44" s="18" t="n"/>
    </row>
    <row r="45" ht="21.75" customHeight="1" s="29">
      <c r="B45" s="32" t="inlineStr">
        <is>
          <t>Kết quả AI trả về và vấn đề gặp phải:</t>
        </is>
      </c>
      <c r="C45" s="24" t="n"/>
      <c r="D45" s="18" t="n"/>
      <c r="E45" s="37" t="inlineStr">
        <is>
          <t>AI tạo thẻ Card tốt nhưng lại chèn quá nhiều đoạn text Lorem Ipsum dài thòng làm thẻ bị vỡ tỷ lệ, thiếu các icon minh họa cho ngân sách.</t>
        </is>
      </c>
      <c r="F45" s="24" t="n"/>
      <c r="G45" s="24" t="n"/>
      <c r="H45" s="24" t="n"/>
      <c r="I45" s="18" t="n"/>
    </row>
    <row r="46" ht="21.75" customHeight="1" s="29">
      <c r="B46" s="32" t="inlineStr">
        <is>
          <t>Nhóm đã chỉnh sửa / sử dụng như thế nào:</t>
        </is>
      </c>
      <c r="C46" s="24" t="n"/>
      <c r="D46" s="18" t="n"/>
      <c r="E46" s="37" t="inlineStr">
        <is>
          <t>Xóa bớt chữ thừa, thêm thủ công các icon (tiền tệ, đồng hồ) vào bên cạnh các thông số để giao diện trực quan và chuyên nghiệp hơn.</t>
        </is>
      </c>
      <c r="F46" s="24" t="n"/>
      <c r="G46" s="24" t="n"/>
      <c r="H46" s="24" t="n"/>
      <c r="I46" s="18" t="n"/>
    </row>
    <row r="47" ht="21.75" customHeight="1" s="29">
      <c r="B47" s="32" t="inlineStr">
        <is>
          <t>Kiểm chứng (test pass/fail, kết quả đúng không):</t>
        </is>
      </c>
      <c r="C47" s="24" t="n"/>
      <c r="D47" s="18" t="n"/>
      <c r="E47" s="37" t="inlineStr">
        <is>
          <t>Các thẻ dự án được sắp xếp rất gọn gàng trong file Project_List.png.</t>
        </is>
      </c>
      <c r="F47" s="24" t="n"/>
      <c r="G47" s="24" t="n"/>
      <c r="H47" s="24" t="n"/>
      <c r="I47" s="18" t="n"/>
    </row>
    <row r="48" ht="21.75" customHeight="1" s="29">
      <c r="B48" s="38" t="inlineStr">
        <is>
          <t>Prompt #3(C-Gemini)</t>
        </is>
      </c>
      <c r="C48" s="24" t="n"/>
      <c r="D48" s="18" t="n"/>
      <c r="E48" s="30" t="inlineStr">
        <is>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is>
      </c>
      <c r="F48" s="24" t="n"/>
      <c r="G48" s="24" t="n"/>
      <c r="H48" s="24" t="n"/>
      <c r="I48" s="18" t="n"/>
    </row>
    <row r="49" ht="21.75" customHeight="1" s="29">
      <c r="B49" s="32" t="inlineStr">
        <is>
          <t>Kết quả AI trả về và vấn đề gặp phải:</t>
        </is>
      </c>
      <c r="C49" s="24" t="n"/>
      <c r="D49" s="18" t="n"/>
      <c r="E49" s="30" t="inlineStr">
        <is>
          <t>AI tạo ra hình ảnh thiết kế bố cục 2 cột rất rõ ràng và đẹp mắt, các khối thông tin phân cấp hợp lý. Vấn đề: Một số text hiển thị tiếng Anh bị lỗi font hoặc tạo ra văn bản vô nghĩa (lorem ipsum).</t>
        </is>
      </c>
      <c r="F49" s="24" t="n"/>
      <c r="G49" s="24" t="n"/>
      <c r="H49" s="24" t="n"/>
      <c r="I49" s="18" t="n"/>
    </row>
    <row r="50" ht="21.75" customHeight="1" s="29">
      <c r="B50" s="32" t="inlineStr">
        <is>
          <t>Nhóm đã chỉnh sửa / sử dụng như thế nào:</t>
        </is>
      </c>
      <c r="C50" s="24" t="n"/>
      <c r="D50" s="18" t="n"/>
      <c r="E50" s="30" t="inlineStr">
        <is>
          <t>Nhóm giữ nguyên cấu trúc bố cục thiết kế này, tiến hành xuất ảnh PNG lưu tại docs/mockup/project_details.png và dùng làm bản vẽ chuẩn để phân tách component cho Tuần 6.</t>
        </is>
      </c>
      <c r="F50" s="24" t="n"/>
      <c r="G50" s="24" t="n"/>
      <c r="H50" s="24" t="n"/>
      <c r="I50" s="18" t="n"/>
    </row>
    <row r="51" ht="21.75" customHeight="1" s="29">
      <c r="B51" s="32" t="inlineStr">
        <is>
          <t>Kiểm chứng (test pass/fail, kết quả đúng không):</t>
        </is>
      </c>
      <c r="C51" s="24" t="n"/>
      <c r="D51" s="18" t="n"/>
      <c r="E51" s="30" t="inlineStr">
        <is>
          <t>File project_details.png hiển thị đúng nghiệp vụ, đạt tiêu chuẩn trực quan của style guide nhóm.</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Setup dự án Vite, chia folder src, cài bootstrap, router, axios. Viết README.md và vẽ sơ đồ component tree đơn giản.</t>
        </is>
      </c>
    </row>
    <row r="61" ht="18" customHeight="1" s="29">
      <c r="B61" s="35" t="inlineStr">
        <is>
          <t>AI đã hỗ trợ như thế nào?</t>
        </is>
      </c>
      <c r="C61" s="24" t="n"/>
      <c r="D61" s="18" t="n"/>
      <c r="E61" s="34" t="inlineStr">
        <is>
          <t>Hỏi AI để tham khảo cách chia thư mục và cấu trúc file. Tiết kiệm được thời gian gõ code cấu trúc thô ban đầu.</t>
        </is>
      </c>
    </row>
    <row r="62" ht="18" customHeight="1" s="29">
      <c r="B62" s="35" t="inlineStr">
        <is>
          <t>AI sai hoặc thiếu ở đâu? (*)</t>
        </is>
      </c>
      <c r="C62" s="24" t="n"/>
      <c r="D62" s="18" t="n"/>
      <c r="E62" s="34" t="inlineStr">
        <is>
          <t>(1) AI vẫn chỉ dùng CRA lỗi thời để tạo dự án. (2) Gợi ý thêm Redux quá sớm làm phức tạp hóa code trong khi tuần 1 chỉ cần khung sườn tĩnh.</t>
        </is>
      </c>
    </row>
    <row r="63" ht="18" customHeight="1" s="29">
      <c r="B63" s="35" t="inlineStr">
        <is>
          <t>Khó khăn gặp phải</t>
        </is>
      </c>
      <c r="C63" s="24" t="n"/>
      <c r="D63" s="18" t="n"/>
      <c r="E63" s="34" t="inlineStr">
        <is>
          <t>Lúc đầu cài bootstrap bị xung đột version với react-bootstrap mới, phải gỡ ra cài lại bản tương thích.</t>
        </is>
      </c>
    </row>
    <row r="64" ht="18" customHeight="1" s="29">
      <c r="B64" s="35" t="inlineStr">
        <is>
          <t>Nếu làm lại, sẽ cải thiện điều gì?</t>
        </is>
      </c>
      <c r="C64" s="24" t="n"/>
      <c r="D64" s="18" t="n"/>
      <c r="E64" s="34" t="inlineStr">
        <is>
          <t>Lần sau hỏi AI sẽ chỉ rõ phiên bản React và Bootstrap muốn dùng để tránh nó code bậy bản cũ.</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Lên ý tưởng (Ideation) và phác thảo thành công Mockup giao diện cho Trang chủ, đồng thời xây dựng quy chuẩn Style Guide cho nhóm.</t>
        </is>
      </c>
    </row>
    <row r="68" ht="18" customHeight="1" s="29">
      <c r="B68" s="35" t="inlineStr">
        <is>
          <t>AI đã hỗ trợ như thế nào?</t>
        </is>
      </c>
      <c r="C68" s="24" t="n"/>
      <c r="D68" s="18" t="n"/>
      <c r="E68" s="28" t="inlineStr">
        <is>
          <t>AI đóng vai trò như một người vẽ nháp, giúp sinh ra hàng loạt ý tưởng layout trong vài giây thay vì phải cặm cụi kéo thả từng ô vuông trong Figma.</t>
        </is>
      </c>
    </row>
    <row r="69" ht="18" customHeight="1" s="29">
      <c r="B69" s="35" t="inlineStr">
        <is>
          <t>AI sai hoặc thiếu ở đâu? (*)</t>
        </is>
      </c>
      <c r="C69" s="24" t="n"/>
      <c r="D69" s="18" t="n"/>
      <c r="E69" s="28" t="inlineStr">
        <is>
          <t>(1) AI thường xuyên sử dụng text vô nghĩa (Lorem Ipsum) thay vì dữ liệu thật. (2) AI không duy trì được sự nhất quán (consistency) giữa các lần sinh ảnh (màu xanh lúc đậm lúc nhạt).</t>
        </is>
      </c>
    </row>
    <row r="70" ht="18" customHeight="1" s="29">
      <c r="B70" s="35" t="inlineStr">
        <is>
          <t>Khó khăn gặp phải</t>
        </is>
      </c>
      <c r="C70" s="24" t="n"/>
      <c r="D70" s="18" t="n"/>
      <c r="E70" s="28" t="inlineStr">
        <is>
          <t>Kỹ năng viết prompt (Prompt Engineering) để mô tả UI chi tiết bằng tiếng Anh khá mất thời gian; nếu mô tả sơ sài AI sẽ vẽ rất chung chung.</t>
        </is>
      </c>
    </row>
    <row r="71" ht="18" customHeight="1" s="29">
      <c r="B71" s="35" t="inlineStr">
        <is>
          <t>Nếu làm lại, sẽ cải thiện điều gì?</t>
        </is>
      </c>
      <c r="C71" s="24" t="n"/>
      <c r="D71" s="18" t="n"/>
      <c r="E71" s="28" t="inlineStr">
        <is>
          <t>Nên thiết lập sẵn bộ nguyên tắc (Design System guidelines) đưa cho AI học ngay từ câu lệnh đầu tiên để đảm bảo AI sinh màu sắc đúng chuẩn 100%.</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Thiết kế mockup 2 màn hình Chi tiết dự án và Dự án đã lưu bằng AI Design Tool. Soạn thảo tài liệu Style Guide chung, nhật ký Prompts và tài liệu bàn giao Handoff Document cho nhóm.</t>
        </is>
      </c>
      <c r="F74" s="24" t="n"/>
      <c r="G74" s="24" t="n"/>
      <c r="H74" s="24" t="n"/>
      <c r="I74" s="18" t="n"/>
    </row>
    <row r="75" ht="18" customHeight="1" s="29">
      <c r="B75" s="35" t="inlineStr">
        <is>
          <t>AI đã hỗ trợ như thế nào?</t>
        </is>
      </c>
      <c r="C75" s="24" t="n"/>
      <c r="D75" s="18" t="n"/>
      <c r="E75" s="32" t="inlineStr">
        <is>
          <t>Hỗ trợ lên ý tưởng bố cục giao diện cực kỳ nhanh chóng dựa trên mô tả văn bản. Tự động đề xuất các phối màu Emerald Green hài hòa và tạo bản vẽ mockup chất lượng cao không cần vẽ tay từ đầu.</t>
        </is>
      </c>
      <c r="F75" s="24" t="n"/>
      <c r="G75" s="24" t="n"/>
      <c r="H75" s="24" t="n"/>
      <c r="I75" s="18" t="n"/>
    </row>
    <row r="76" ht="18" customHeight="1" s="29">
      <c r="B76" s="35" t="inlineStr">
        <is>
          <t>AI sai hoặc thiếu ở đâu? (*)</t>
        </is>
      </c>
      <c r="C76" s="24" t="n"/>
      <c r="D76" s="18" t="n"/>
      <c r="E76" s="32" t="inlineStr">
        <is>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is>
      </c>
      <c r="F76" s="24" t="n"/>
      <c r="G76" s="24" t="n"/>
      <c r="H76" s="24" t="n"/>
      <c r="I76" s="18" t="n"/>
    </row>
    <row r="77" ht="18" customHeight="1" s="29">
      <c r="B77" s="35" t="inlineStr">
        <is>
          <t>Khó khăn gặp phải</t>
        </is>
      </c>
      <c r="C77" s="24" t="n"/>
      <c r="D77" s="18" t="n"/>
      <c r="E77" s="32" t="inlineStr">
        <is>
          <t>Việc viết prompt bằng tiếng Anh mô tả chi tiết vị trí các component nhỏ trong bảng khá tốn thời gian, đôi khi AI hiểu sai vị trí cột trái/phải và phải generate lại nhiều lần.</t>
        </is>
      </c>
      <c r="F77" s="24" t="n"/>
      <c r="G77" s="24" t="n"/>
      <c r="H77" s="24" t="n"/>
      <c r="I77" s="18" t="n"/>
    </row>
    <row r="78" ht="18" customHeight="1" s="29">
      <c r="B78" s="35" t="inlineStr">
        <is>
          <t>Nếu làm lại, sẽ cải thiện điều gì?</t>
        </is>
      </c>
      <c r="C78" s="24" t="n"/>
      <c r="D78" s="18" t="n"/>
      <c r="E78" s="32" t="inlineStr">
        <is>
          <t>Sẽ sử dụng các công cụ vẽ wireframe thô (lo-fi) trước để định hình cấu trúc, sau đó mới dùng AI để tạo giao diện chi tiết (hi-fi) để tránh việc AI sắp xếp bố cục tùy tiện.</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01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I94"/>
  <sheetViews>
    <sheetView showGridLines="0" zoomScale="85" zoomScaleNormal="85" workbookViewId="0">
      <selection activeCell="G15" sqref="G15"/>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2026-06-24</t>
        </is>
      </c>
      <c r="C8" s="30" t="inlineStr">
        <is>
          <t>A</t>
        </is>
      </c>
      <c r="D8" s="30" t="inlineStr">
        <is>
          <t>Gemini</t>
        </is>
      </c>
      <c r="E8" s="30" t="inlineStr">
        <is>
          <t>Tạo giao diện Header.jsx tĩnh cho sàn FJMS</t>
        </is>
      </c>
      <c r="F8" s="30" t="inlineStr">
        <is>
          <t>src/components/Header.jsx</t>
        </is>
      </c>
      <c r="G8" s="30" t="inlineStr">
        <is>
          <t>Medium</t>
        </is>
      </c>
      <c r="H8" s="30" t="inlineStr">
        <is>
          <t>Thêm logo thương hiệu và thanh điều hướng Nav</t>
        </is>
      </c>
      <c r="I8" s="30" t="inlineStr">
        <is>
          <t>Console không xuất hiện cảnh báo</t>
        </is>
      </c>
    </row>
    <row r="9" ht="18" customHeight="1" s="29">
      <c r="B9" s="13" t="inlineStr">
        <is>
          <t>2026-06-24</t>
        </is>
      </c>
      <c r="C9" s="30" t="inlineStr">
        <is>
          <t>A</t>
        </is>
      </c>
      <c r="D9" s="30" t="inlineStr">
        <is>
          <t>Gemini</t>
        </is>
      </c>
      <c r="E9" s="30" t="inlineStr">
        <is>
          <t>Tạo giao diện Footer.jsx có năm hiện tại động</t>
        </is>
      </c>
      <c r="F9" s="30" t="inlineStr">
        <is>
          <t>src/components/Footer.jsx</t>
        </is>
      </c>
      <c r="G9" s="30" t="inlineStr">
        <is>
          <t>Low</t>
        </is>
      </c>
      <c r="H9" s="30" t="inlineStr">
        <is>
          <t>Bổ sung danh sách liên kết nhanh và thông tin nhóm</t>
        </is>
      </c>
      <c r="I9" s="30" t="inlineStr">
        <is>
          <t>Hiển thị 2026 chính xác</t>
        </is>
      </c>
    </row>
    <row r="10" ht="18" customHeight="1" s="29">
      <c r="B10" s="13" t="inlineStr">
        <is>
          <t>2026-06-24</t>
        </is>
      </c>
      <c r="C10" s="30" t="inlineStr">
        <is>
          <t>B</t>
        </is>
      </c>
      <c r="D10" s="30" t="inlineStr">
        <is>
          <t>Gemini</t>
        </is>
      </c>
      <c r="E10" s="30" t="inlineStr">
        <is>
          <t>Dựng Banner.jsx giới thiệu trang chủ</t>
        </is>
      </c>
      <c r="F10" s="37" t="inlineStr">
        <is>
          <t>src/components/Banner.jsx</t>
        </is>
      </c>
      <c r="G10" s="30" t="inlineStr">
        <is>
          <t>Medium</t>
        </is>
      </c>
      <c r="H10" s="30" t="inlineStr">
        <is>
          <t>Thêm slogan và 2 nút hành động CTA</t>
        </is>
      </c>
      <c r="I10" s="14" t="inlineStr">
        <is>
          <t>Banner trải dài full width</t>
        </is>
      </c>
    </row>
    <row r="11" ht="18" customHeight="1" s="29">
      <c r="B11" s="13" t="inlineStr">
        <is>
          <t>2026-06-24</t>
        </is>
      </c>
      <c r="C11" s="30" t="inlineStr">
        <is>
          <t>B</t>
        </is>
      </c>
      <c r="D11" s="37" t="inlineStr">
        <is>
          <t>Gemini</t>
        </is>
      </c>
      <c r="E11" s="15" t="inlineStr">
        <is>
          <t>Dựng Component tĩnh ProjectCard.jsx</t>
        </is>
      </c>
      <c r="F11" s="37" t="inlineStr">
        <is>
          <t>src/components/ProjectCard.jsx</t>
        </is>
      </c>
      <c r="G11" s="37" t="inlineStr">
        <is>
          <t>Medium</t>
        </is>
      </c>
      <c r="H11" s="37" t="inlineStr">
        <is>
          <t>Thêm định dạng tiền tệ VND vi-VN</t>
        </is>
      </c>
      <c r="I11" s="14" t="inlineStr">
        <is>
          <t>Card hiển thị thông tin mẫu</t>
        </is>
      </c>
    </row>
    <row r="12" ht="18" customHeight="1" s="29">
      <c r="B12" s="13" t="inlineStr">
        <is>
          <t>2026-06-24</t>
        </is>
      </c>
      <c r="C12" s="30" t="inlineStr">
        <is>
          <t>C</t>
        </is>
      </c>
      <c r="D12" s="30" t="inlineStr">
        <is>
          <t>Gemini</t>
        </is>
      </c>
      <c r="E12" s="30" t="inlineStr">
        <is>
          <t>Lập trình CategoryList.jsx hiển thị danh mục ngành nghề</t>
        </is>
      </c>
      <c r="F12" s="30" t="inlineStr">
        <is>
          <t>src/components/CategoryList.jsx</t>
        </is>
      </c>
      <c r="G12" s="30" t="inlineStr">
        <is>
          <t>Medium</t>
        </is>
      </c>
      <c r="H12" s="30" t="inlineStr">
        <is>
          <t>Xử lý điều kiện conditional rendering khi mảng rỗng</t>
        </is>
      </c>
      <c r="I12" s="30" t="inlineStr">
        <is>
          <t>Render 5 danh mục công việc</t>
        </is>
      </c>
    </row>
    <row r="13" ht="18" customHeight="1" s="29">
      <c r="B13" s="13" t="inlineStr">
        <is>
          <t>2026-06-24</t>
        </is>
      </c>
      <c r="C13" s="30" t="inlineStr">
        <is>
          <t>C</t>
        </is>
      </c>
      <c r="D13" s="30" t="inlineStr">
        <is>
          <t>Gemini</t>
        </is>
      </c>
      <c r="E13" s="30" t="inlineStr">
        <is>
          <t>Lập trình ProjectGrid.jsx chứa mảng dự án mẫu và map ra card</t>
        </is>
      </c>
      <c r="F13" s="37" t="inlineStr">
        <is>
          <t>src/components/ProjectGrid.jsx</t>
        </is>
      </c>
      <c r="G13" s="30" t="inlineStr">
        <is>
          <t>High</t>
        </is>
      </c>
      <c r="H13" s="30" t="inlineStr">
        <is>
          <t>Map mảng PROJECTS_DATA ra lưới card</t>
        </is>
      </c>
      <c r="I13" s="30" t="inlineStr">
        <is>
          <t>Render 4 dự án mẫu</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Tạo mới components Header.jsx và Footer.jsx tĩnh cho dự án</t>
        </is>
      </c>
      <c r="E21" s="30" t="n"/>
      <c r="F21" s="30" t="n"/>
      <c r="G21" s="30" t="inlineStr">
        <is>
          <t>src/components/Header.jsx, src/components/Footer.jsx</t>
        </is>
      </c>
      <c r="H21" s="30" t="n"/>
      <c r="I21" s="30" t="inlineStr">
        <is>
          <t>Header có navbar và footer có năm tự động</t>
        </is>
      </c>
    </row>
    <row r="22" ht="18" customHeight="1" s="29">
      <c r="B22" s="30" t="n"/>
      <c r="C22" s="30" t="inlineStr">
        <is>
          <t>A</t>
        </is>
      </c>
      <c r="D22" s="30" t="inlineStr">
        <is>
          <t>Thêm CSS cơ bản trong index.css để reset margin/padding và set màu chủ đạo Emerald green cho FJMS</t>
        </is>
      </c>
      <c r="E22" s="30" t="n"/>
      <c r="F22" s="30" t="n"/>
      <c r="G22" s="30" t="inlineStr">
        <is>
          <t>src/index.css</t>
        </is>
      </c>
      <c r="H22" s="30" t="n"/>
      <c r="I22" s="30" t="inlineStr">
        <is>
          <t>Style màu thương hiệu</t>
        </is>
      </c>
    </row>
    <row r="23" ht="18" customHeight="1" s="29">
      <c r="B23" s="30" t="n"/>
      <c r="C23" s="37" t="inlineStr">
        <is>
          <t>C</t>
        </is>
      </c>
      <c r="D23" s="47" t="inlineStr">
        <is>
          <t>Tạo mới component CategoryList.jsx hiển thị 5 lĩnh vực việc làm của freelancer.</t>
        </is>
      </c>
      <c r="E23" s="30" t="n"/>
      <c r="F23" s="30" t="n"/>
      <c r="G23" s="37" t="inlineStr">
        <is>
          <t>fjms-frontend/src/components/CategoryList.jsx</t>
        </is>
      </c>
      <c r="H23" s="30" t="n"/>
      <c r="I23" s="37" t="inlineStr">
        <is>
          <t>Đã hoàn thành phần logic kiểm tra danh sách rỗng bằng toán tử 3 ngôi.</t>
        </is>
      </c>
    </row>
    <row r="24" ht="15.75" customHeight="1" s="29">
      <c r="B24" s="40" t="inlineStr">
        <is>
          <t>Changed — Cải tiến</t>
        </is>
      </c>
      <c r="C24" s="24" t="n"/>
      <c r="D24" s="24" t="n"/>
      <c r="E24" s="24" t="n"/>
      <c r="F24" s="24" t="n"/>
      <c r="G24" s="24" t="n"/>
      <c r="H24" s="24" t="n"/>
      <c r="I24" s="18" t="n"/>
    </row>
    <row r="25" ht="18" customHeight="1" s="29">
      <c r="B25" s="30" t="n"/>
      <c r="C25" s="37" t="inlineStr">
        <is>
          <t>B</t>
        </is>
      </c>
      <c r="D25" s="37" t="inlineStr">
        <is>
          <t>Tạo mới component tĩnh Banner.jsx (Hero section) và ProjectCard.jsx (Thẻ dự án).</t>
        </is>
      </c>
      <c r="E25" s="30" t="n"/>
      <c r="F25" s="30" t="n"/>
      <c r="G25" t="inlineStr">
        <is>
          <t>src/components/Banner.jsx, src/components/ProjectCard.jsx</t>
        </is>
      </c>
      <c r="H25" s="30" t="n"/>
      <c r="I25" s="37" t="inlineStr">
        <is>
          <t>Đã áp dụng inline CSS theo đúng màu sắc của Style Guide.</t>
        </is>
      </c>
    </row>
    <row r="26" ht="18" customHeight="1" s="29">
      <c r="B26" s="30" t="n"/>
      <c r="C26" s="37" t="inlineStr">
        <is>
          <t>C</t>
        </is>
      </c>
      <c r="D26" s="37" t="inlineStr">
        <is>
          <t xml:space="preserve">Chỉnh sửa App.jsx để thực hiện tích hợp 5 component tĩnh của nhóm.	</t>
        </is>
      </c>
      <c r="E26" s="30" t="n"/>
      <c r="F26" s="30" t="n"/>
      <c r="G26" s="37" t="inlineStr">
        <is>
          <t>fjms-frontend/src/App.jsx</t>
        </is>
      </c>
      <c r="H26" s="30" t="n"/>
      <c r="I26" s="47" t="inlineStr">
        <is>
          <t>Đảm bảo trang web chạy ổn định trên cổng 5173 và không phát sinh lỗi console.</t>
        </is>
      </c>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giùm code component Header.jsx bằng React 19 hiển thị thanh Navbar. Có logo FJMS Marketplace ở bên trái, giữa là các link trang chủ, tìm việc, dự án đã lưu, dashboard. Bên phải có icon giỏ hàng.</t>
        </is>
      </c>
      <c r="F40" s="24" t="n"/>
      <c r="G40" s="24" t="n"/>
      <c r="H40" s="24" t="n"/>
      <c r="I40" s="18" t="n"/>
    </row>
    <row r="41" ht="21.75" customHeight="1" s="29">
      <c r="B41" s="32" t="inlineStr">
        <is>
          <t>Kết quả AI trả về và vấn đề gặp phải:</t>
        </is>
      </c>
      <c r="C41" s="24" t="n"/>
      <c r="D41" s="18" t="n"/>
      <c r="E41" s="30" t="inlineStr">
        <is>
          <t>AI sinh ra code HTML và CSS inline khá dài dòng. Giao diện nhìn tạm ổn nhưng nó xài thẻ &lt;a&gt; cho các link điều hướng làm trang bị load lại mỗi khi click, mất tính chất Single Page App.</t>
        </is>
      </c>
      <c r="F41" s="24" t="n"/>
      <c r="G41" s="24" t="n"/>
      <c r="H41" s="24" t="n"/>
      <c r="I41" s="18" t="n"/>
    </row>
    <row r="42" ht="21.75" customHeight="1" s="29">
      <c r="B42" s="32" t="inlineStr">
        <is>
          <t>Nhóm đã chỉnh sửa / sử dụng như thế nào:</t>
        </is>
      </c>
      <c r="C42" s="24" t="n"/>
      <c r="D42" s="18" t="n"/>
      <c r="E42" s="30" t="inlineStr">
        <is>
          <t>Nhóm thay toàn bộ thẻ &lt;a&gt; thành component &lt;Link&gt; và &lt;NavLink&gt; từ thư viện react-router-dom để chuyển trang không bị load lại. Đồng thời dọn bớt đống style inline nhét vào file CSS riêng.</t>
        </is>
      </c>
      <c r="F42" s="24" t="n"/>
      <c r="G42" s="24" t="n"/>
      <c r="H42" s="24" t="n"/>
      <c r="I42" s="18" t="n"/>
    </row>
    <row r="43" ht="21.75" customHeight="1" s="29">
      <c r="B43" s="32" t="inlineStr">
        <is>
          <t>Kiểm chứng (test pass/fail, kết quả đúng không):</t>
        </is>
      </c>
      <c r="C43" s="24" t="n"/>
      <c r="D43" s="18" t="n"/>
      <c r="E43" s="30" t="inlineStr">
        <is>
          <t>Click thử giữa các tab trên Header thấy chuyển trang mượt, không bị xoay vòng tròn load lại trang.</t>
        </is>
      </c>
      <c r="F43" s="24" t="n"/>
      <c r="G43" s="24" t="n"/>
      <c r="H43" s="24" t="n"/>
      <c r="I43" s="18" t="n"/>
    </row>
    <row r="44" ht="21.75" customHeight="1" s="29">
      <c r="B44" s="31" t="inlineStr">
        <is>
          <t>Prompt #2 ( B- ChatGPT)</t>
        </is>
      </c>
      <c r="C44" s="24" t="n"/>
      <c r="D44" s="18" t="n"/>
      <c r="E44" s="37" t="inlineStr">
        <is>
          <t>Viết cho tôi component Banner.jsx bằng React. Component này đóng vai trò Hero Section, bao gồm thẻ h1 'Tìm Kiếm Freelancer Phù Hợp', đoạn mô tả và 2 nút bấm. Yêu cầu dùng inline CSS, không dùng thư viện ngoài.</t>
        </is>
      </c>
      <c r="F44" s="24" t="n"/>
      <c r="G44" s="24" t="n"/>
      <c r="H44" s="24" t="n"/>
      <c r="I44" s="18" t="n"/>
    </row>
    <row r="45" ht="21.75" customHeight="1" s="29">
      <c r="B45" s="32" t="inlineStr">
        <is>
          <t>Kết quả AI trả về và vấn đề gặp phải:</t>
        </is>
      </c>
      <c r="C45" s="24" t="n"/>
      <c r="D45" s="18" t="n"/>
      <c r="E45" s="37" t="inlineStr">
        <is>
          <t>AI sinh ra code đúng chuẩn JSX nhưng các nút bấm có kích thước chưa cân đối và màu sắc bị sai mã Hex (xanh lá chóe) so với thiết kế Figma.</t>
        </is>
      </c>
      <c r="F45" s="24" t="n"/>
      <c r="G45" s="24" t="n"/>
      <c r="H45" s="24" t="n"/>
      <c r="I45" s="18" t="n"/>
    </row>
    <row r="46" ht="21.75" customHeight="1" s="29">
      <c r="B46" s="32" t="inlineStr">
        <is>
          <t>Nhóm đã chỉnh sửa / sử dụng như thế nào:</t>
        </is>
      </c>
      <c r="C46" s="24" t="n"/>
      <c r="D46" s="18" t="n"/>
      <c r="E46" s="37" t="inlineStr">
        <is>
          <t>Giữ nguyên khung HTML/JSX của AI, sau đó chỉnh sửa lại toàn bộ mã màu Hex trong thẻ style={{...}} cho khớp với Style Guide.</t>
        </is>
      </c>
      <c r="F46" s="24" t="n"/>
      <c r="G46" s="24" t="n"/>
      <c r="H46" s="24" t="n"/>
      <c r="I46" s="18" t="n"/>
    </row>
    <row r="47" ht="21.75" customHeight="1" s="29">
      <c r="B47" s="32" t="inlineStr">
        <is>
          <t>Kiểm chứng (test pass/fail, kết quả đúng không):</t>
        </is>
      </c>
      <c r="C47" s="24" t="n"/>
      <c r="D47" s="18" t="n"/>
      <c r="E47" s="37" t="inlineStr">
        <is>
          <t>Chạy npm run dev, component hiển thị tốt trên trình duyệt, màu sắc chuẩn.</t>
        </is>
      </c>
      <c r="F47" s="24" t="n"/>
      <c r="G47" s="24" t="n"/>
      <c r="H47" s="24" t="n"/>
      <c r="I47" s="18" t="n"/>
    </row>
    <row r="48" ht="21.75" customHeight="1" s="29">
      <c r="B48" s="31" t="inlineStr">
        <is>
          <t>Prompt #3(C-Gemini)</t>
        </is>
      </c>
      <c r="C48" s="24" t="n"/>
      <c r="D48" s="18" t="n"/>
      <c r="E48" s="37" t="inlineStr">
        <is>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is>
      </c>
      <c r="F48" s="24" t="n"/>
      <c r="G48" s="24" t="n"/>
      <c r="H48" s="24" t="n"/>
      <c r="I48" s="18" t="n"/>
    </row>
    <row r="49" ht="21.75" customHeight="1" s="29">
      <c r="B49" s="32" t="inlineStr">
        <is>
          <t>Kết quả AI trả về và vấn đề gặp phải:</t>
        </is>
      </c>
      <c r="C49" s="24" t="n"/>
      <c r="D49" s="18" t="n"/>
      <c r="E49" s="37" t="inlineStr">
        <is>
          <t>AI cung cấp component đúng cú pháp và cấu trúc logic. Vấn đề: Cấu trúc CSS inline sử dụng flexbox của AI bị thiếu tính năng wrap khiến giao diện bị tràn lề khi thu nhỏ trình duyệt.</t>
        </is>
      </c>
      <c r="F49" s="24" t="n"/>
      <c r="G49" s="24" t="n"/>
      <c r="H49" s="24" t="n"/>
      <c r="I49" s="18" t="n"/>
    </row>
    <row r="50" ht="21.75" customHeight="1" s="29">
      <c r="B50" s="32" t="inlineStr">
        <is>
          <t>Nhóm đã chỉnh sửa / sử dụng như thế nào:</t>
        </is>
      </c>
      <c r="C50" s="24" t="n"/>
      <c r="D50" s="18" t="n"/>
      <c r="E50" s="37" t="inlineStr">
        <is>
          <t>Nhóm giữ nguyên logic, thực hiện bổ sung flexWrap: 'wrap' và gap: '1rem' vào inline CSS ở container chính để giao diện responsive tốt hơn.</t>
        </is>
      </c>
      <c r="F50" s="24" t="n"/>
      <c r="G50" s="24" t="n"/>
      <c r="H50" s="24" t="n"/>
      <c r="I50" s="18" t="n"/>
    </row>
    <row r="51" ht="21.75" customHeight="1" s="29">
      <c r="B51" s="32" t="inlineStr">
        <is>
          <t>Kiểm chứng (test pass/fail, kết quả đúng không):</t>
        </is>
      </c>
      <c r="C51" s="24" t="n"/>
      <c r="D51" s="18" t="n"/>
      <c r="E51" s="37" t="inlineStr">
        <is>
          <t>Test Pass. Giao diện hiển thị 5 cột đẹp mắt, khi giả lập truyền categories rỗng thì hiển thị đúng văn bản thông báo lỗi.</t>
        </is>
      </c>
      <c r="F51" s="24" t="n"/>
      <c r="G51" s="24" t="n"/>
      <c r="H51" s="24" t="n"/>
      <c r="I51" s="18" t="n"/>
    </row>
    <row r="52" ht="21.75" customHeight="1" s="29">
      <c r="B52" s="38" t="inlineStr">
        <is>
          <t>Prompt #4</t>
        </is>
      </c>
      <c r="C52" s="24" t="n"/>
      <c r="D52" s="18" t="n"/>
      <c r="E52" s="37" t="inlineStr">
        <is>
          <t xml:space="preserve"> </t>
        </is>
      </c>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Code xong Header.jsx và Footer.jsx tĩnh cho dự án FJMS.</t>
        </is>
      </c>
    </row>
    <row r="61" ht="18" customHeight="1" s="29">
      <c r="B61" s="35" t="inlineStr">
        <is>
          <t>AI đã hỗ trợ như thế nào?</t>
        </is>
      </c>
      <c r="C61" s="24" t="n"/>
      <c r="D61" s="18" t="n"/>
      <c r="E61" s="34" t="inlineStr">
        <is>
          <t>AI gen khung HTML và css mẫu cho Header/Footer nhanh, đỡ phải tự gõ từng thẻ.</t>
        </is>
      </c>
    </row>
    <row r="62" ht="18" customHeight="1" s="29">
      <c r="B62" s="35" t="inlineStr">
        <is>
          <t>AI sai hoặc thiếu ở đâu? (*)</t>
        </is>
      </c>
      <c r="C62" s="24" t="n"/>
      <c r="D62" s="18" t="n"/>
      <c r="E62" s="34" t="inlineStr">
        <is>
          <t>(1) AI sử dụng các thẻ &lt;a&gt; thay vì Link làm app bị reload. (2) AI viết style dạng inline quá dài dòng trong JSX làm file code dài hơn 200 dòng, rất khó bảo trì.</t>
        </is>
      </c>
    </row>
    <row r="63" ht="18" customHeight="1" s="29">
      <c r="B63" s="35" t="inlineStr">
        <is>
          <t>Khó khăn gặp phải</t>
        </is>
      </c>
      <c r="C63" s="24" t="n"/>
      <c r="D63" s="18" t="n"/>
      <c r="E63" s="34" t="inlineStr">
        <is>
          <t>Header bị lệch align giữa logo và menu, phải tự căn chỉnh lại flexbox.</t>
        </is>
      </c>
    </row>
    <row r="64" ht="18" customHeight="1" s="29">
      <c r="B64" s="35" t="inlineStr">
        <is>
          <t>Nếu làm lại, sẽ cải thiện điều gì?</t>
        </is>
      </c>
      <c r="C64" s="24" t="n"/>
      <c r="D64" s="18" t="n"/>
      <c r="E64" s="34" t="inlineStr">
        <is>
          <t>Nên yêu cầu AI chia nhỏ CSS ra hoặc dùng Tailwind/Bootstrap ngay từ đầu cho sạch.</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Lập trình thành công 2 giao diện tĩnh là Banner.jsx và ProjectCard.jsx bằng cú pháp JSX và inline CSS.</t>
        </is>
      </c>
    </row>
    <row r="68" ht="18" customHeight="1" s="29">
      <c r="B68" s="35" t="inlineStr">
        <is>
          <t>AI đã hỗ trợ như thế nào?</t>
        </is>
      </c>
      <c r="C68" s="24" t="n"/>
      <c r="D68" s="18" t="n"/>
      <c r="E68" s="28" t="inlineStr">
        <is>
          <t>AI giúp tạo nhanh bộ khung thẻ HTML lồng nhau và các style cơ bản (flexbox, padding), tiết kiệm được 50% thời gian phải gõ chay.</t>
        </is>
      </c>
    </row>
    <row r="69" ht="18" customHeight="1" s="29">
      <c r="B69" s="35" t="inlineStr">
        <is>
          <t>AI sai hoặc thiếu ở đâu? (*)</t>
        </is>
      </c>
      <c r="C69" s="24" t="n"/>
      <c r="D69" s="18" t="n"/>
      <c r="E69" s="28" t="inlineStr">
        <is>
          <t>(1) AI thường xuyên sử dụng sai mã màu (không đúng theo nhận diện thương hiệu). (2) AI hay tự ý thêm các thẻ thẻ &lt;a&gt; hoặc placeholder ảnh gây lỗi hiển thị.</t>
        </is>
      </c>
    </row>
    <row r="70" ht="18" customHeight="1" s="29">
      <c r="B70" s="35" t="inlineStr">
        <is>
          <t>Khó khăn gặp phải</t>
        </is>
      </c>
      <c r="C70" s="24" t="n"/>
      <c r="D70" s="18" t="n"/>
      <c r="E70" s="28" t="inlineStr">
        <is>
          <t>Việc viết CSS dạng inline (trong file .jsx) rất dài dòng, khiến file code bị "phình" to, rất khó dò lỗi khi thiếu một dấu phẩy , hoặc ngoặc nhọn }.</t>
        </is>
      </c>
    </row>
    <row r="71" ht="18" customHeight="1" s="29">
      <c r="B71" s="35" t="inlineStr">
        <is>
          <t>Nếu làm lại, sẽ cải thiện điều gì?</t>
        </is>
      </c>
      <c r="C71" s="24" t="n"/>
      <c r="D71" s="18" t="n"/>
      <c r="E71" s="28" t="inlineStr">
        <is>
          <t>Sẽ chia nhỏ các style object ra ngoài component thay vì nhét thẳng vào thẻ HTML để code dễ đọc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Xây dựng 2 component CategoryList và ProjectGrid. Tích hợp tất cả các component tĩnh của nhóm vào App.jsx và viết tài liệu lý thuyết giải thích cơ chế JSX.</t>
        </is>
      </c>
      <c r="F74" s="24" t="n"/>
      <c r="G74" s="24" t="n"/>
      <c r="H74" s="24" t="n"/>
      <c r="I74" s="18" t="n"/>
    </row>
    <row r="75" ht="18" customHeight="1" s="29">
      <c r="B75" s="35" t="inlineStr">
        <is>
          <t>AI đã hỗ trợ như thế nào?</t>
        </is>
      </c>
      <c r="C75" s="24" t="n"/>
      <c r="D75" s="18" t="n"/>
      <c r="E75" s="48" t="inlineStr">
        <is>
          <t>Hỗ trợ giải thích sâu sắc sự khác biệt trong cơ chế biên dịch JSX của React 19 so với các phiên bản cũ và cung cấp code khung HTML/CSS inline rất nhanh.</t>
        </is>
      </c>
      <c r="F75" s="24" t="n"/>
      <c r="G75" s="24" t="n"/>
      <c r="H75" s="24" t="n"/>
      <c r="I75" s="18" t="n"/>
    </row>
    <row r="76" ht="18" customHeight="1" s="29">
      <c r="B76" s="35" t="inlineStr">
        <is>
          <t>AI sai hoặc thiếu ở đâu? (*)</t>
        </is>
      </c>
      <c r="C76" s="24" t="n"/>
      <c r="D76" s="18" t="n"/>
      <c r="E76" s="48" t="inlineStr">
        <is>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is>
      </c>
      <c r="F76" s="24" t="n"/>
      <c r="G76" s="24" t="n"/>
      <c r="H76" s="24" t="n"/>
      <c r="I76" s="18" t="n"/>
    </row>
    <row r="77" ht="18" customHeight="1" s="29">
      <c r="B77" s="35" t="inlineStr">
        <is>
          <t>Khó khăn gặp phải</t>
        </is>
      </c>
      <c r="C77" s="24" t="n"/>
      <c r="D77" s="18" t="n"/>
      <c r="E77" s="48" t="inlineStr">
        <is>
          <t>Khó khăn trong việc căn chỉnh các thuộc tính CSS nâng cao (như hover hoặc active hiệu ứng nút bấm) do viết bằng inline CSS không hỗ trợ pseudo-classes trực tiếp.</t>
        </is>
      </c>
      <c r="F77" s="24" t="n"/>
      <c r="G77" s="24" t="n"/>
      <c r="H77" s="24" t="n"/>
      <c r="I77" s="18" t="n"/>
    </row>
    <row r="78" ht="18" customHeight="1" s="29">
      <c r="B78" s="35" t="inlineStr">
        <is>
          <t>Nếu làm lại, sẽ cải thiện điều gì?</t>
        </is>
      </c>
      <c r="C78" s="24" t="n"/>
      <c r="D78" s="18" t="n"/>
      <c r="E78" s="48" t="inlineStr">
        <is>
          <t>Sẽ sử dụng thư viện icon chuẩn (như lucide-react) thay vì gán các ký tự emoji thô để tăng tính thẩm mỹ của trang web.</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02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hyperlinks>
    <hyperlink xmlns:r="http://schemas.openxmlformats.org/officeDocument/2006/relationships" ref="I10" r:id="rId1"/>
    <hyperlink xmlns:r="http://schemas.openxmlformats.org/officeDocument/2006/relationships" ref="I11" r:id="rId2"/>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I94"/>
  <sheetViews>
    <sheetView showGridLines="0" topLeftCell="A79" zoomScale="85" zoomScaleNormal="85" workbookViewId="0">
      <selection activeCell="E81" sqref="E81:I8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2026-06-25</t>
        </is>
      </c>
      <c r="C8" s="30" t="inlineStr">
        <is>
          <t>A</t>
        </is>
      </c>
      <c r="D8" s="37" t="inlineStr">
        <is>
          <t>Gemini</t>
        </is>
      </c>
      <c r="E8" s="30" t="inlineStr">
        <is>
          <t>Refactor ProjectCard.jsx để nhận dữ liệu qua props {project, onSaveProject, isSaved}</t>
        </is>
      </c>
      <c r="F8" s="30" t="inlineStr">
        <is>
          <t>src/components/ProjectCard.jsx</t>
        </is>
      </c>
      <c r="G8" s="30" t="inlineStr">
        <is>
          <t>High</t>
        </is>
      </c>
      <c r="H8" s="30" t="inlineStr">
        <is>
          <t>Xóa dữ liệu hardcode, thêm formatVND và badge skills</t>
        </is>
      </c>
      <c r="I8" s="30" t="inlineStr">
        <is>
          <t>Card nhận data động mượt mượt</t>
        </is>
      </c>
    </row>
    <row r="9" ht="18" customHeight="1" s="29">
      <c r="B9" s="30" t="inlineStr">
        <is>
          <t>2026-06-25</t>
        </is>
      </c>
      <c r="C9" s="30" t="inlineStr">
        <is>
          <t>A</t>
        </is>
      </c>
      <c r="D9" s="37" t="inlineStr">
        <is>
          <t>Gemini</t>
        </is>
      </c>
      <c r="E9" s="30" t="inlineStr">
        <is>
          <t>Xử lý sự kiện onSaveProject qua callback props của ProjectCard</t>
        </is>
      </c>
      <c r="F9" s="30" t="inlineStr">
        <is>
          <t>src/components/ProjectCard.jsx</t>
        </is>
      </c>
      <c r="G9" s="30" t="inlineStr">
        <is>
          <t>Medium</t>
        </is>
      </c>
      <c r="H9" s="30" t="inlineStr">
        <is>
          <t>Thêm handler onClick truyền project object ngược lên cha</t>
        </is>
      </c>
      <c r="I9" s="30" t="inlineStr">
        <is>
          <t>App nhận callback chính xác</t>
        </is>
      </c>
    </row>
    <row r="10" ht="18" customHeight="1" s="29">
      <c r="B10" s="30" t="inlineStr">
        <is>
          <t>2026-06-25</t>
        </is>
      </c>
      <c r="C10" s="37" t="inlineStr">
        <is>
          <t>B</t>
        </is>
      </c>
      <c r="D10" s="37" t="inlineStr">
        <is>
          <t>Gemini</t>
        </is>
      </c>
      <c r="E10" t="inlineStr">
        <is>
          <t>Chuyển đổi component ProjectGrid tĩnh sang nhận mảng projects qua Props</t>
        </is>
      </c>
      <c r="F10" s="37" t="inlineStr">
        <is>
          <t>src/components/ProjectGrid.jsx</t>
        </is>
      </c>
      <c r="G10" s="30" t="inlineStr">
        <is>
          <t>Medium</t>
        </is>
      </c>
      <c r="H10" s="37" t="inlineStr">
        <is>
          <t>Thêm key={project.id} tránh warning key</t>
        </is>
      </c>
      <c r="I10" s="37" t="inlineStr">
        <is>
          <t>Map danh sách động không lỗi</t>
        </is>
      </c>
    </row>
    <row r="11" ht="18" customHeight="1" s="29">
      <c r="B11" s="13" t="inlineStr">
        <is>
          <t>2026-06-25</t>
        </is>
      </c>
      <c r="C11" s="37" t="inlineStr">
        <is>
          <t>B</t>
        </is>
      </c>
      <c r="D11" s="37" t="inlineStr">
        <is>
          <t>Gemini</t>
        </is>
      </c>
      <c r="E11" s="37" t="inlineStr">
        <is>
          <t>Cải tiến CategoryList để nhận mảng categories từ component cha</t>
        </is>
      </c>
      <c r="F11" s="37" t="inlineStr">
        <is>
          <t>src/components/CategoryList.jsx</t>
        </is>
      </c>
      <c r="G11" s="37" t="inlineStr">
        <is>
          <t>Medium</t>
        </is>
      </c>
      <c r="H11" s="37" t="inlineStr">
        <is>
          <t>Thêm activeCategory style highlight</t>
        </is>
      </c>
      <c r="I11" s="37" t="inlineStr">
        <is>
          <t>Lọc danh mục linh hoạt</t>
        </is>
      </c>
    </row>
    <row r="12" ht="18" customHeight="1" s="29">
      <c r="B12" s="13" t="inlineStr">
        <is>
          <t>2026-06-25</t>
        </is>
      </c>
      <c r="C12" s="37" t="inlineStr">
        <is>
          <t>C</t>
        </is>
      </c>
      <c r="D12" s="37" t="inlineStr">
        <is>
          <t>Gemini</t>
        </is>
      </c>
      <c r="E12" s="37" t="inlineStr">
        <is>
          <t>Lập trình SectionWrapper.jsx nhận title, subtitle và props.children</t>
        </is>
      </c>
      <c r="F12" s="37" t="inlineStr">
        <is>
          <t>src/components/SectionWrapper.jsx</t>
        </is>
      </c>
      <c r="G12" s="37" t="inlineStr">
        <is>
          <t>High</t>
        </is>
      </c>
      <c r="H12" s="37" t="inlineStr">
        <is>
          <t>Bọc layout tái sử dụng tại 3+ khu vực trong App</t>
        </is>
      </c>
      <c r="I12" s="37" t="inlineStr">
        <is>
          <t>Layout đồng bộ toàn bộ app</t>
        </is>
      </c>
    </row>
    <row r="13" ht="18" customHeight="1" s="29">
      <c r="B13" s="13" t="inlineStr">
        <is>
          <t>2026-06-25</t>
        </is>
      </c>
      <c r="C13" s="37" t="inlineStr">
        <is>
          <t>C</t>
        </is>
      </c>
      <c r="D13" s="37" t="inlineStr">
        <is>
          <t>Gemini</t>
        </is>
      </c>
      <c r="E13" s="37" t="inlineStr">
        <is>
          <t>Vẽ sơ đồ luồng dữ liệu Data Flow Diagram phân tích cơ chế truyền props 1 chiều</t>
        </is>
      </c>
      <c r="F13" s="37" t="inlineStr">
        <is>
          <t>docs/week03-dataflow.md</t>
        </is>
      </c>
      <c r="G13" s="37" t="inlineStr">
        <is>
          <t>Low</t>
        </is>
      </c>
      <c r="H13" s="37" t="inlineStr">
        <is>
          <t>Vẽ sơ đồ luồng App -&gt; Grid -&gt; Card</t>
        </is>
      </c>
      <c r="I13" s="37" t="inlineStr">
        <is>
          <t>Review với giảng viên OK</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7" t="inlineStr">
        <is>
          <t>C</t>
        </is>
      </c>
      <c r="D21" s="30" t="n"/>
      <c r="E21" s="37" t="inlineStr">
        <is>
          <t>Tạo mới component layout dùng chung SectionWrapper.jsx sử dụng thuộc tính props.children.</t>
        </is>
      </c>
      <c r="F21" s="30" t="n"/>
      <c r="G21" s="30" t="n"/>
      <c r="H21" s="37" t="inlineStr">
        <is>
          <t>fjms-frontend/src/components/SectionWrapper.jsx</t>
        </is>
      </c>
      <c r="I21" s="37" t="inlineStr">
        <is>
          <t>Giúp chuẩn hóa tiêu đề và khoảng cách của các section trên trang chủ.</t>
        </is>
      </c>
    </row>
    <row r="22" ht="18" customHeight="1" s="29">
      <c r="B22" s="30" t="n"/>
      <c r="C22" s="37" t="inlineStr">
        <is>
          <t>C</t>
        </is>
      </c>
      <c r="D22" s="30" t="n"/>
      <c r="E22" s="37" t="inlineStr">
        <is>
          <t>Tạo mới sơ đồ kỹ thuật kiến trúc luồng dữ liệu (Data Flow Diagram).</t>
        </is>
      </c>
      <c r="F22" s="30" t="n"/>
      <c r="G22" s="30" t="n"/>
      <c r="H22" s="37" t="inlineStr">
        <is>
          <t>Week03/docs/week03-dataflow.png</t>
        </is>
      </c>
      <c r="I22" s="37" t="inlineStr">
        <is>
          <t>Minh chứng cụ thể về việc hiểu one-way data flow trong React.</t>
        </is>
      </c>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7" t="n"/>
      <c r="E25" s="37" t="inlineStr">
        <is>
          <t>Refactor ProjectCard.jsx chuyển đổi từ dữ liệu hardcode sang props động</t>
        </is>
      </c>
      <c r="F25" s="30" t="n"/>
      <c r="G25" s="30" t="inlineStr">
        <is>
          <t>src/components/ProjectCard.jsx</t>
        </is>
      </c>
      <c r="H25" s="30" t="n"/>
      <c r="I25" s="30" t="inlineStr">
        <is>
          <t>Nhận project object và callback onSaveProject</t>
        </is>
      </c>
    </row>
    <row r="26" ht="18" customHeight="1" s="29">
      <c r="B26" s="30" t="n"/>
      <c r="C26" s="37" t="inlineStr">
        <is>
          <t>C</t>
        </is>
      </c>
      <c r="D26" s="37" t="n"/>
      <c r="E26" s="37" t="inlineStr">
        <is>
          <t>Cấu trúc lại file App.jsx để đóng vai trò làm trung tâm dữ liệu (Single Source of Truth) và gán hàm callback sự kiện.</t>
        </is>
      </c>
      <c r="F26" s="30" t="n"/>
      <c r="G26" s="30" t="n"/>
      <c r="H26" s="37" t="inlineStr">
        <is>
          <t>fjms-frontend/src/App.jsx</t>
        </is>
      </c>
      <c r="I26" s="37" t="inlineStr">
        <is>
          <t>Đã liên kết thành công nút click từ ProjectCard qua props ngược về App.jsx để alert thông báo.</t>
        </is>
      </c>
    </row>
    <row r="27" ht="18" customHeight="1" s="29">
      <c r="B27" s="30" t="n"/>
      <c r="C27" s="37" t="inlineStr">
        <is>
          <t>B</t>
        </is>
      </c>
      <c r="D27" s="37" t="n"/>
      <c r="E27" s="37" t="inlineStr">
        <is>
          <t>Refactor ProjectGrid.jsx và CategoryList.jsx để hiển thị dữ liệu động dựa trên props truyền từ App xuống thay vì gõ cứng.</t>
        </is>
      </c>
      <c r="F27" s="30" t="n"/>
      <c r="G27" s="37" t="inlineStr">
        <is>
          <t>src/components/ProjectGrid.jsx, src/components/CategoryList.jsx</t>
        </is>
      </c>
      <c r="H27" s="30" t="n"/>
      <c r="I27" s="37" t="inlineStr">
        <is>
          <t>Cập nhật luồng dữ liệu One-way data flow, giải quyết lỗi warning thiếu thuộc tính key.</t>
        </is>
      </c>
    </row>
    <row r="28" ht="15.75" customHeight="1" s="29">
      <c r="B28" s="49" t="n"/>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Antigravity)</t>
        </is>
      </c>
      <c r="C40" s="24" t="n"/>
      <c r="D40" s="18" t="n"/>
      <c r="E40" s="30" t="inlineStr">
        <is>
          <t>Refactor component ProjectCard.jsx để nó nhận object project qua props chứ không hardcode nữa. Nút Lưu dự án thì gọi hàm onSaveProject từ component cha truyền xuống. Budget thì format dạng VND.</t>
        </is>
      </c>
      <c r="F40" s="24" t="n"/>
      <c r="G40" s="24" t="n"/>
      <c r="H40" s="24" t="n"/>
      <c r="I40" s="18" t="n"/>
    </row>
    <row r="41" ht="21.75" customHeight="1" s="29">
      <c r="B41" s="32" t="inlineStr">
        <is>
          <t>Kết quả AI trả về và vấn đề gặp phải:</t>
        </is>
      </c>
      <c r="C41" s="24" t="n"/>
      <c r="D41" s="18" t="n"/>
      <c r="E41" s="30" t="inlineStr">
        <is>
          <t>AI viết hàm format tiền VND khá chuẩn bằng Intl.NumberFormat. Nhưng nó quên check điều kiện null của project object. Khi data chưa truyền xuống kịp thì app bị crash màn hình trắng xoá vì lỗi Cannot read properties of undefined.</t>
        </is>
      </c>
      <c r="F41" s="24" t="n"/>
      <c r="G41" s="24" t="n"/>
      <c r="H41" s="24" t="n"/>
      <c r="I41" s="18" t="n"/>
    </row>
    <row r="42" ht="21.75" customHeight="1" s="29">
      <c r="B42" s="32" t="inlineStr">
        <is>
          <t>Nhóm đã chỉnh sửa / sử dụng như thế nào:</t>
        </is>
      </c>
      <c r="C42" s="24" t="n"/>
      <c r="D42" s="18" t="n"/>
      <c r="E42" s="30" t="inlineStr">
        <is>
          <t>Nhóm sửa lại bằng cách thêm toán tử optional chaining (project?.title, project?.budget) và set một project mặc định nếu props truyền vào bị rỗng.</t>
        </is>
      </c>
      <c r="F42" s="24" t="n"/>
      <c r="G42" s="24" t="n"/>
      <c r="H42" s="24" t="n"/>
      <c r="I42" s="18" t="n"/>
    </row>
    <row r="43" ht="21.75" customHeight="1" s="29">
      <c r="B43" s="32" t="inlineStr">
        <is>
          <t>Kiểm chứng (test pass/fail, kết quả đúng không):</t>
        </is>
      </c>
      <c r="C43" s="24" t="n"/>
      <c r="D43" s="18" t="n"/>
      <c r="E43" s="30" t="inlineStr">
        <is>
          <t>Truyền thử project rỗng vào Card thấy không bị crash app nữa, hiển thị đúng budget định dạng VND.</t>
        </is>
      </c>
      <c r="F43" s="24" t="n"/>
      <c r="G43" s="24" t="n"/>
      <c r="H43" s="24" t="n"/>
      <c r="I43" s="18" t="n"/>
    </row>
    <row r="44" ht="21.75" customHeight="1" s="29">
      <c r="B44" s="31" t="inlineStr">
        <is>
          <t>Prompt #2( B- ChatGPT)</t>
        </is>
      </c>
      <c r="C44" s="24" t="n"/>
      <c r="D44" s="18" t="n"/>
      <c r="E44" s="37" t="inlineStr">
        <is>
          <t>Refactor file ProjectGrid.jsx hiện tại của tôi. Thay vì dùng mảng PROJECTS_DATA hardcode bên trong, hãy cấu hình để nó nhận một tham số props là projects từ component cha truyền xuống. Cập nhật lại hàm map để sử dụng props này.</t>
        </is>
      </c>
      <c r="F44" s="24" t="n"/>
      <c r="G44" s="24" t="n"/>
      <c r="H44" s="24" t="n"/>
      <c r="I44" s="18" t="n"/>
    </row>
    <row r="45" ht="21.75" customHeight="1" s="29">
      <c r="B45" s="32" t="inlineStr">
        <is>
          <t>Kết quả AI trả về và vấn đề gặp phải:</t>
        </is>
      </c>
      <c r="C45" s="24" t="n"/>
      <c r="D45" s="18" t="n"/>
      <c r="E45" s="37" t="inlineStr">
        <is>
          <t>AI sửa code rất nhanh, tuy nhiên quên không kiểm tra mảng rỗng khiến app bị lỗi (crash) nếu mảng projects chưa kịp truyền tới.</t>
        </is>
      </c>
      <c r="F45" s="24" t="n"/>
      <c r="G45" s="24" t="n"/>
      <c r="H45" s="24" t="n"/>
      <c r="I45" s="18" t="n"/>
    </row>
    <row r="46" ht="21.75" customHeight="1" s="29">
      <c r="B46" s="32" t="inlineStr">
        <is>
          <t>Nhóm đã chỉnh sửa / sử dụng như thế nào:</t>
        </is>
      </c>
      <c r="C46" s="24" t="n"/>
      <c r="D46" s="18" t="n"/>
      <c r="E46" s="37" t="inlineStr">
        <is>
          <t>Tự thêm thủ công toán tử điều kiện projects &amp;&amp; projects.length &gt; 0 trước khi thực hiện hàm .map().</t>
        </is>
      </c>
      <c r="F46" s="24" t="n"/>
      <c r="G46" s="24" t="n"/>
      <c r="H46" s="24" t="n"/>
      <c r="I46" s="18" t="n"/>
    </row>
    <row r="47" ht="21.75" customHeight="1" s="29">
      <c r="B47" s="32" t="inlineStr">
        <is>
          <t>Kiểm chứng (test pass/fail, kết quả đúng không):</t>
        </is>
      </c>
      <c r="C47" s="24" t="n"/>
      <c r="D47" s="18" t="n"/>
      <c r="E47" s="37" t="inlineStr">
        <is>
          <t>Dữ liệu truyền từ App xuống Grid hiển thị thành công, có thể kiểm tra qua React DevTools.</t>
        </is>
      </c>
      <c r="F47" s="24" t="n"/>
      <c r="G47" s="24" t="n"/>
      <c r="H47" s="24" t="n"/>
      <c r="I47" s="18" t="n"/>
    </row>
    <row r="48" ht="21.75" customHeight="1" s="29">
      <c r="B48" s="31" t="inlineStr">
        <is>
          <t>Prompt #3(C_Gemini)</t>
        </is>
      </c>
      <c r="C48" s="24" t="n"/>
      <c r="D48" s="18" t="n"/>
      <c r="E48" s="37" t="inlineStr">
        <is>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is>
      </c>
      <c r="F48" s="24" t="n"/>
      <c r="G48" s="24" t="n"/>
      <c r="H48" s="24" t="n"/>
      <c r="I48" s="18" t="n"/>
    </row>
    <row r="49" ht="21.75" customHeight="1" s="29">
      <c r="B49" s="32" t="inlineStr">
        <is>
          <t>Kết quả AI trả về và vấn đề gặp phải:</t>
        </is>
      </c>
      <c r="C49" s="24" t="n"/>
      <c r="D49" s="18" t="n"/>
      <c r="E49" s="37" t="inlineStr">
        <is>
          <t>AI viết code đúng cấu trúc render children. Vấn đề: AI không kiểm tra điều kiện dữ liệu của tiêu đề, dẫn đến việc nếu component cha không truyền prop subtitle, nó vẫn render thẻ &lt;p&gt;&lt;/p&gt; rỗng làm xấu giao diện.</t>
        </is>
      </c>
      <c r="F49" s="24" t="n"/>
      <c r="G49" s="24" t="n"/>
      <c r="H49" s="24" t="n"/>
      <c r="I49" s="18" t="n"/>
    </row>
    <row r="50" ht="21.75" customHeight="1" s="29">
      <c r="B50" s="32" t="inlineStr">
        <is>
          <t>Nhóm đã chỉnh sửa / sử dụng như thế nào:</t>
        </is>
      </c>
      <c r="C50" s="24" t="n"/>
      <c r="D50" s="18" t="n"/>
      <c r="E50" s="37" t="inlineStr">
        <is>
          <t>Sửa code phần hiển thị tiêu đề thành {title &amp;&amp; &lt;h2&gt;...&lt;/h2&gt;} và {subtitle &amp;&amp; &lt;p&gt;...&lt;/p&gt;} để thẻ HTML chỉ hiển thị khi có dữ liệu.</t>
        </is>
      </c>
      <c r="F50" s="24" t="n"/>
      <c r="G50" s="24" t="n"/>
      <c r="H50" s="24" t="n"/>
      <c r="I50" s="18" t="n"/>
    </row>
    <row r="51" ht="21.75" customHeight="1" s="29">
      <c r="B51" s="32" t="inlineStr">
        <is>
          <t>Kiểm chứng (test pass/fail, kết quả đúng không):</t>
        </is>
      </c>
      <c r="C51" s="24" t="n"/>
      <c r="D51" s="18" t="n"/>
      <c r="E51" s="37" t="inlineStr">
        <is>
          <t>Test Pass. Tái sử dụng bọc được 3 phần khác nhau trên trang chủ hoạt động hoàn toàn chính xác.</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Refactor ProjectCard để truyền nhận props động, định dạng tiền tệ và nhận callback từ component cha.</t>
        </is>
      </c>
    </row>
    <row r="61" ht="18" customHeight="1" s="29">
      <c r="B61" s="35" t="inlineStr">
        <is>
          <t>AI đã hỗ trợ như thế nào?</t>
        </is>
      </c>
      <c r="C61" s="24" t="n"/>
      <c r="D61" s="18" t="n"/>
      <c r="E61" s="34" t="inlineStr">
        <is>
          <t>AI hướng dẫn cách viết hàm format VND và destructing props nhanh gọn.</t>
        </is>
      </c>
    </row>
    <row r="62" ht="18" customHeight="1" s="29">
      <c r="B62" s="35" t="inlineStr">
        <is>
          <t>AI sai hoặc thiếu ở đâu? (*)</t>
        </is>
      </c>
      <c r="C62" s="24" t="n"/>
      <c r="D62" s="18" t="n"/>
      <c r="E62" s="34" t="inlineStr">
        <is>
          <t>(1) AI không sử dụng optional chaining khi truy xuất các thuộc tính của project object dẫn đến lỗi crash. (2) AI gợi ý sai cú pháp hàm callback khi quên không bọc vào arrow function làm nó tự chạy liên tục khi render.</t>
        </is>
      </c>
    </row>
    <row r="63" ht="18" customHeight="1" s="29">
      <c r="B63" s="35" t="inlineStr">
        <is>
          <t>Khó khăn gặp phải</t>
        </is>
      </c>
      <c r="C63" s="24" t="n"/>
      <c r="D63" s="18" t="n"/>
      <c r="E63" s="34" t="inlineStr">
        <is>
          <t>Lỗi render vòng lặp vô hạn ở hàm callback của nút Lưu dự án, mất cả buổi chiều để debug.</t>
        </is>
      </c>
    </row>
    <row r="64" ht="18" customHeight="1" s="29">
      <c r="B64" s="35" t="inlineStr">
        <is>
          <t>Nếu làm lại, sẽ cải thiện điều gì?</t>
        </is>
      </c>
      <c r="C64" s="24" t="n"/>
      <c r="D64" s="18" t="n"/>
      <c r="E64" s="34" t="inlineStr">
        <is>
          <t>Khi truyền event handler qua props luôn nhớ bọc trong arrow function () =&gt; handler(data).</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Áp dụng kiến trúc luồng dữ liệu một chiều (One-way data flow) bằng cách truyền dữ liệu mảng qua biến props từ App xuống các component con để hiển thị tự động.</t>
        </is>
      </c>
    </row>
    <row r="68" ht="18" customHeight="1" s="29">
      <c r="B68" s="35" t="inlineStr">
        <is>
          <t>AI đã hỗ trợ như thế nào?</t>
        </is>
      </c>
      <c r="C68" s="24" t="n"/>
      <c r="D68" s="18" t="n"/>
      <c r="E68" s="28" t="inlineStr">
        <is>
          <t>AI hỗ trợ refactor code cũ thành cấu trúc mới dùng props cực kỳ nhanh, nhắc nhở việc phải luôn thêm thuộc tính key đặc biệt trong các hàm map() của React.</t>
        </is>
      </c>
    </row>
    <row r="69" ht="18" customHeight="1" s="29">
      <c r="B69" s="35" t="inlineStr">
        <is>
          <t>AI sai hoặc thiếu ở đâu? (*)</t>
        </is>
      </c>
      <c r="C69" s="24" t="n"/>
      <c r="D69" s="18" t="n"/>
      <c r="E69" s="28" t="inlineStr">
        <is>
          <t>(1) AI hay quên kiểm tra (validate) biến props có bị undefined hay không trước khi gọi hàm map, dễ làm sập app. (2) Đôi khi AI đổi tên biến props khác với tên mình đang đặt ở file cha.</t>
        </is>
      </c>
    </row>
    <row r="70" ht="18" customHeight="1" s="29">
      <c r="B70" s="35" t="inlineStr">
        <is>
          <t>Khó khăn gặp phải</t>
        </is>
      </c>
      <c r="C70" s="24" t="n"/>
      <c r="D70" s="18" t="n"/>
      <c r="E70" s="28" t="inlineStr">
        <is>
          <t>Hơi bối rối khi truyền và nhận props qua nhiều tầng component (Props drilling), đôi khi quên truyền props từ cha khiến dữ liệu ở component con báo lỗi undefined.</t>
        </is>
      </c>
    </row>
    <row r="71" ht="18" customHeight="1" s="29">
      <c r="B71" s="35" t="inlineStr">
        <is>
          <t>Nếu làm lại, sẽ cải thiện điều gì?</t>
        </is>
      </c>
      <c r="C71" s="24" t="n"/>
      <c r="D71" s="18" t="n"/>
      <c r="E71" s="28" t="inlineStr">
        <is>
          <t>Sẽ tìm hiểu kỹ thêm về cách gỡ lỗi (debug) luồng truyền props bằng React DevTools để kiểm soát tốt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Lập trình component SectionWrapper sử dụng children prop, refactor App.jsx để quản lý dữ liệu tập trung và hàm callback lưu dự án, thiết kế sơ đồ Data Flow Diagram.</t>
        </is>
      </c>
      <c r="F74" s="24" t="n"/>
      <c r="G74" s="24" t="n"/>
      <c r="H74" s="24" t="n"/>
      <c r="I74" s="18" t="n"/>
    </row>
    <row r="75" ht="18" customHeight="1" s="29">
      <c r="B75" s="35" t="inlineStr">
        <is>
          <t>AI đã hỗ trợ như thế nào?</t>
        </is>
      </c>
      <c r="C75" s="24" t="n"/>
      <c r="D75" s="18" t="n"/>
      <c r="E75" s="48" t="inlineStr">
        <is>
          <t>Hỗ trợ thiết kế sơ đồ kiến trúc luồng dữ liệu trực quan rất rõ ràng và gợi ý giải pháp truyền hàm callback từ component cha xuống component cháu (ProjectCard) hiệu quả.</t>
        </is>
      </c>
      <c r="F75" s="24" t="n"/>
      <c r="G75" s="24" t="n"/>
      <c r="H75" s="24" t="n"/>
      <c r="I75" s="18" t="n"/>
    </row>
    <row r="76" ht="18" customHeight="1" s="29">
      <c r="B76" s="35" t="inlineStr">
        <is>
          <t>AI sai hoặc thiếu ở đâu? (*)</t>
        </is>
      </c>
      <c r="C76" s="24" t="n"/>
      <c r="D76" s="18" t="n"/>
      <c r="E76" s="48" t="inlineStr">
        <is>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is>
      </c>
      <c r="F76" s="24" t="n"/>
      <c r="G76" s="24" t="n"/>
      <c r="H76" s="24" t="n"/>
      <c r="I76" s="18" t="n"/>
    </row>
    <row r="77" ht="18" customHeight="1" s="29">
      <c r="B77" s="35" t="inlineStr">
        <is>
          <t>Khó khăn gặp phải</t>
        </is>
      </c>
      <c r="C77" s="24" t="n"/>
      <c r="D77" s="18" t="n"/>
      <c r="E77" s="48" t="inlineStr">
        <is>
          <t>Khó khăn trong việc debug lỗi HMR (Hot Module Replacement) của Vite khi cố gắng export song song mảng dữ liệu tĩnh bên cạnh mặc định component chính.</t>
        </is>
      </c>
      <c r="F77" s="24" t="n"/>
      <c r="G77" s="24" t="n"/>
      <c r="H77" s="24" t="n"/>
      <c r="I77" s="18" t="n"/>
    </row>
    <row r="78" ht="18" customHeight="1" s="29">
      <c r="B78" s="35" t="inlineStr">
        <is>
          <t>Nếu làm lại, sẽ cải thiện điều gì?</t>
        </is>
      </c>
      <c r="C78" s="24" t="n"/>
      <c r="D78" s="18" t="n"/>
      <c r="E78" s="48" t="inlineStr">
        <is>
          <t>Sẽ sử dụng thư viện ràng buộc kiểu dữ liệu truyền nhận (Prop-types hoặc TypeScript) từ ban đầu để dễ dàng kiểm soát lỗi truyền sai kiểu dữ liệu.</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03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I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2026-06-26</t>
        </is>
      </c>
      <c r="C8" s="30" t="inlineStr">
        <is>
          <t>A</t>
        </is>
      </c>
      <c r="D8" s="30" t="inlineStr">
        <is>
          <t>Gemini</t>
        </is>
      </c>
      <c r="E8" s="30" t="inlineStr">
        <is>
          <t>Xây dựng SearchBar.jsx controlled component với state keyword</t>
        </is>
      </c>
      <c r="F8" s="30" t="inlineStr">
        <is>
          <t>src/components/SearchBar.jsx</t>
        </is>
      </c>
      <c r="G8" s="30" t="inlineStr">
        <is>
          <t>High</t>
        </is>
      </c>
      <c r="H8" s="30" t="inlineStr">
        <is>
          <t>Bind value={keyword} và onChange={(e) =&gt; setKeyword(e.target.value)}</t>
        </is>
      </c>
      <c r="I8" s="30" t="inlineStr">
        <is>
          <t>Gõ phím state cập nhật real-time</t>
        </is>
      </c>
    </row>
    <row r="9" ht="18" customHeight="1" s="29">
      <c r="B9" s="30" t="inlineStr">
        <is>
          <t>2026-06-26</t>
        </is>
      </c>
      <c r="C9" s="30" t="inlineStr">
        <is>
          <t>A</t>
        </is>
      </c>
      <c r="D9" s="30" t="inlineStr">
        <is>
          <t>Gemini</t>
        </is>
      </c>
      <c r="E9" s="30" t="inlineStr">
        <is>
          <t>Thêm validation cảnh báo đỏ khi từ khóa &lt; 2 ký tự và nút clear (x)</t>
        </is>
      </c>
      <c r="F9" s="30" t="inlineStr">
        <is>
          <t>src/components/SearchBar.jsx</t>
        </is>
      </c>
      <c r="G9" s="30" t="inlineStr">
        <is>
          <t>Medium</t>
        </is>
      </c>
      <c r="H9" s="30" t="inlineStr">
        <is>
          <t>Thêm text cảnh báo màu đỏ và nút reset từ khóa</t>
        </is>
      </c>
      <c r="I9" s="30" t="inlineStr">
        <is>
          <t>Nhập 1 ký tự hiển thị cảnh báo</t>
        </is>
      </c>
    </row>
    <row r="10" ht="18" customHeight="1" s="29">
      <c r="B10" s="30" t="inlineStr">
        <is>
          <t>2026-06-26</t>
        </is>
      </c>
      <c r="C10" s="30" t="inlineStr">
        <is>
          <t>B</t>
        </is>
      </c>
      <c r="D10" s="30" t="inlineStr">
        <is>
          <t>Gemini</t>
        </is>
      </c>
      <c r="E10" s="30" t="inlineStr">
        <is>
          <t>Khai báo savedProjects state tại App.jsx và hàm handleSaveProject bất biến</t>
        </is>
      </c>
      <c r="F10" s="30" t="inlineStr">
        <is>
          <t>src/App.jsx</t>
        </is>
      </c>
      <c r="G10" s="30" t="inlineStr">
        <is>
          <t>High</t>
        </is>
      </c>
      <c r="H10" s="30" t="inlineStr">
        <is>
          <t>Dùng Spread operator [...prev, item] &amp; filter, tránh push()</t>
        </is>
      </c>
      <c r="I10" s="30" t="inlineStr">
        <is>
          <t>State không bị mutate trực tiếp</t>
        </is>
      </c>
    </row>
    <row r="11" ht="18" customHeight="1" s="29">
      <c r="B11" s="30" t="inlineStr">
        <is>
          <t>2026-06-26</t>
        </is>
      </c>
      <c r="C11" s="30" t="inlineStr">
        <is>
          <t>B</t>
        </is>
      </c>
      <c r="D11" s="30" t="inlineStr">
        <is>
          <t>Gemini</t>
        </is>
      </c>
      <c r="E11" s="30" t="inlineStr">
        <is>
          <t>Cập nhật Header.jsx nhận savedCount hiển thị badge số lượng real-time</t>
        </is>
      </c>
      <c r="F11" s="30" t="inlineStr">
        <is>
          <t>src/components/Header.jsx</t>
        </is>
      </c>
      <c r="G11" s="30" t="inlineStr">
        <is>
          <t>Medium</t>
        </is>
      </c>
      <c r="H11" s="30" t="inlineStr">
        <is>
          <t>Áp dụng kỹ thuật Lifting State Up lên App.jsx</t>
        </is>
      </c>
      <c r="I11" s="30" t="inlineStr">
        <is>
          <t>Badge nhảy số chính xác khi lưu</t>
        </is>
      </c>
    </row>
    <row r="12" ht="18" customHeight="1" s="29">
      <c r="B12" s="30" t="inlineStr">
        <is>
          <t>2026-06-26</t>
        </is>
      </c>
      <c r="C12" s="30" t="inlineStr">
        <is>
          <t>C</t>
        </is>
      </c>
      <c r="D12" s="30" t="inlineStr">
        <is>
          <t>Gemini</t>
        </is>
      </c>
      <c r="E12" s="30" t="inlineStr">
        <is>
          <t>Khai báo activeCategory state và tính toán derived state filteredProjects</t>
        </is>
      </c>
      <c r="F12" s="30" t="inlineStr">
        <is>
          <t>src/App.jsx</t>
        </is>
      </c>
      <c r="G12" s="30" t="inlineStr">
        <is>
          <t>High</t>
        </is>
      </c>
      <c r="H12" s="30" t="inlineStr">
        <is>
          <t>Kết hợp lọc danh mục &amp; từ khóa tìm kiếm</t>
        </is>
      </c>
      <c r="I12" s="30" t="inlineStr">
        <is>
          <t>Kết quả lọc chính xác 100%</t>
        </is>
      </c>
    </row>
    <row r="13" ht="18" customHeight="1" s="29">
      <c r="B13" s="30" t="inlineStr">
        <is>
          <t>2026-06-26</t>
        </is>
      </c>
      <c r="C13" s="30" t="inlineStr">
        <is>
          <t>C</t>
        </is>
      </c>
      <c r="D13" s="30" t="inlineStr">
        <is>
          <t>Gemini</t>
        </is>
      </c>
      <c r="E13" s="30" t="inlineStr">
        <is>
          <t>Tạo SavedProjectsModal.jsx drawer quản lý dự án đã lưu và tính tổng budget</t>
        </is>
      </c>
      <c r="F13" s="30" t="inlineStr">
        <is>
          <t>src/components/SavedProjectsModal.jsx</t>
        </is>
      </c>
      <c r="G13" s="30" t="inlineStr">
        <is>
          <t>High</t>
        </is>
      </c>
      <c r="H13" s="30" t="inlineStr">
        <is>
          <t>Thêm nút xóa từng dự án và nút ứng tuyển ngay</t>
        </is>
      </c>
      <c r="I13" s="30" t="inlineStr">
        <is>
          <t>Drawer hiển thị mượt mượt</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04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2026-06-27</t>
        </is>
      </c>
      <c r="C8" s="30" t="inlineStr">
        <is>
          <t>A</t>
        </is>
      </c>
      <c r="D8" s="30" t="inlineStr">
        <is>
          <t>Gemini</t>
        </is>
      </c>
      <c r="E8" s="30" t="inlineStr">
        <is>
          <t>Rebuild Header bằng React-Bootstrap Navbar, Nav và Navbar.Toggle</t>
        </is>
      </c>
      <c r="F8" s="30" t="inlineStr">
        <is>
          <t>src/components/Header.jsx</t>
        </is>
      </c>
      <c r="G8" s="30" t="inlineStr">
        <is>
          <t>High</t>
        </is>
      </c>
      <c r="H8" s="30" t="inlineStr">
        <is>
          <t>Cấu hình Hamburger menu collapse tự động ẩn hiện trên Mobile</t>
        </is>
      </c>
      <c r="I8" s="30" t="inlineStr">
        <is>
          <t>Test mượt ở 375px mobile</t>
        </is>
      </c>
    </row>
    <row r="9" ht="18" customHeight="1" s="29">
      <c r="B9" s="30" t="inlineStr">
        <is>
          <t>2026-06-27</t>
        </is>
      </c>
      <c r="C9" s="30" t="inlineStr">
        <is>
          <t>B</t>
        </is>
      </c>
      <c r="D9" s="30" t="inlineStr">
        <is>
          <t>Gemini</t>
        </is>
      </c>
      <c r="E9" s="30" t="inlineStr">
        <is>
          <t>Thiết kế Banner Jumbotron style gradient Emerald Slate và stats counters</t>
        </is>
      </c>
      <c r="F9" s="30" t="inlineStr">
        <is>
          <t>src/components/Banner.jsx</t>
        </is>
      </c>
      <c r="G9" s="30" t="inlineStr">
        <is>
          <t>High</t>
        </is>
      </c>
      <c r="H9" s="30" t="inlineStr">
        <is>
          <t>Tối ưu typography, badges uy tín và nút CTA</t>
        </is>
      </c>
      <c r="I9" s="30" t="inlineStr">
        <is>
          <t>Banner hiển thị ấn tượng</t>
        </is>
      </c>
    </row>
    <row r="10" ht="18" customHeight="1" s="29">
      <c r="B10" s="30" t="inlineStr">
        <is>
          <t>2026-06-27</t>
        </is>
      </c>
      <c r="C10" s="30" t="inlineStr">
        <is>
          <t>C</t>
        </is>
      </c>
      <c r="D10" s="30" t="inlineStr">
        <is>
          <t>Gemini</t>
        </is>
      </c>
      <c r="E10" s="30" t="inlineStr">
        <is>
          <t>Rebuild ProjectGrid bằng Row g-4 và Col (xs=12, md=6, lg=4)</t>
        </is>
      </c>
      <c r="F10" s="30" t="inlineStr">
        <is>
          <t>src/components/ProjectGrid.jsx</t>
        </is>
      </c>
      <c r="G10" s="30" t="inlineStr">
        <is>
          <t>High</t>
        </is>
      </c>
      <c r="H10" s="30" t="inlineStr">
        <is>
          <t>Cấu hình Grid system responsive chuẩn 3 breakpoints</t>
        </is>
      </c>
      <c r="I10" s="30" t="inlineStr">
        <is>
          <t>Không vỡ layout ở mọi màn hình</t>
        </is>
      </c>
    </row>
    <row r="11" ht="18" customHeight="1" s="29">
      <c r="B11" s="30" t="inlineStr">
        <is>
          <t>2026-06-27</t>
        </is>
      </c>
      <c r="C11" s="30" t="inlineStr">
        <is>
          <t>C</t>
        </is>
      </c>
      <c r="D11" s="30" t="inlineStr">
        <is>
          <t>Gemini</t>
        </is>
      </c>
      <c r="E11" s="30" t="inlineStr">
        <is>
          <t>Thiết kế ProjectCard đồng bộ chiều cao h-100 với skill badges và Proposal Modal</t>
        </is>
      </c>
      <c r="F11" s="30" t="inlineStr">
        <is>
          <t>src/components/ProjectCard.jsx</t>
        </is>
      </c>
      <c r="G11" s="30" t="inlineStr">
        <is>
          <t>Medium</t>
        </is>
      </c>
      <c r="H11" s="30" t="inlineStr">
        <is>
          <t>Tích hợp Proposal Action Modal nộp báo giá</t>
        </is>
      </c>
      <c r="I11" s="30" t="inlineStr">
        <is>
          <t>Card đều nhau ở mọi cột</t>
        </is>
      </c>
    </row>
    <row r="12" ht="18" customHeight="1" s="29">
      <c r="B12" s="30" t="inlineStr">
        <is>
          <t>2026-06-27</t>
        </is>
      </c>
      <c r="C12" s="30" t="inlineStr">
        <is>
          <t>A</t>
        </is>
      </c>
      <c r="D12" s="30" t="inlineStr">
        <is>
          <t>Gemini</t>
        </is>
      </c>
      <c r="E12" s="30" t="inlineStr">
        <is>
          <t>Tùy biến CSS design system variables (primary #059669) và hiệu ứng hover</t>
        </is>
      </c>
      <c r="F12" s="30" t="inlineStr">
        <is>
          <t>src/index.css</t>
        </is>
      </c>
      <c r="G12" s="30" t="inlineStr">
        <is>
          <t>Low</t>
        </is>
      </c>
      <c r="H12" s="30" t="inlineStr">
        <is>
          <t>Thêm hiệu ứng translateY -4px và box-shadow</t>
        </is>
      </c>
      <c r="I12" s="30" t="inlineStr">
        <is>
          <t>Hover hiệu ứng mượt mượt</t>
        </is>
      </c>
    </row>
    <row r="13" ht="18" customHeight="1" s="29">
      <c r="B13" s="30" t="inlineStr">
        <is>
          <t>2026-06-27</t>
        </is>
      </c>
      <c r="C13" s="30" t="inlineStr">
        <is>
          <t>B</t>
        </is>
      </c>
      <c r="D13" s="30" t="inlineStr">
        <is>
          <t>Gemini</t>
        </is>
      </c>
      <c r="E13" s="30" t="inlineStr">
        <is>
          <t>Kiểm thử responsive trên 3 Breakpoints chuẩn (375px, 768px, 1280px)</t>
        </is>
      </c>
      <c r="F13" s="30" t="inlineStr">
        <is>
          <t>docs/week05-responsive.md</t>
        </is>
      </c>
      <c r="G13" s="30" t="inlineStr">
        <is>
          <t>Low</t>
        </is>
      </c>
      <c r="H13" s="30" t="inlineStr">
        <is>
          <t>Chụp ảnh minh họa DevTools Toolbar</t>
        </is>
      </c>
      <c r="I13" s="30" t="inlineStr">
        <is>
          <t>Layout đáp ứng 100% tiêu chí</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05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2026-06-28</t>
        </is>
      </c>
      <c r="C8" s="30" t="inlineStr">
        <is>
          <t>A</t>
        </is>
      </c>
      <c r="D8" s="30" t="inlineStr">
        <is>
          <t>Gemini</t>
        </is>
      </c>
      <c r="E8" s="30" t="inlineStr">
        <is>
          <t>Cấu hình BrowserRouter, Routes, Route cho các trang /, /projects, /saved</t>
        </is>
      </c>
      <c r="F8" s="30" t="inlineStr">
        <is>
          <t>src/App.jsx</t>
        </is>
      </c>
      <c r="G8" s="30" t="inlineStr">
        <is>
          <t>High</t>
        </is>
      </c>
      <c r="H8" s="30" t="inlineStr">
        <is>
          <t>Bọc ứng dụng với BrowserRouter</t>
        </is>
      </c>
      <c r="I8" s="30" t="inlineStr">
        <is>
          <t>Chuyển trang không reload</t>
        </is>
      </c>
    </row>
    <row r="9" ht="18" customHeight="1" s="29">
      <c r="B9" s="30" t="inlineStr">
        <is>
          <t>2026-06-28</t>
        </is>
      </c>
      <c r="C9" s="30" t="inlineStr">
        <is>
          <t>B</t>
        </is>
      </c>
      <c r="D9" s="30" t="inlineStr">
        <is>
          <t>Gemini</t>
        </is>
      </c>
      <c r="E9" s="30" t="inlineStr">
        <is>
          <t>Viết ProjectDetailPage.jsx hiển thị chi tiết dự án dùng useParams()</t>
        </is>
      </c>
      <c r="F9" s="30" t="inlineStr">
        <is>
          <t>src/pages/ProjectDetailPage.jsx</t>
        </is>
      </c>
      <c r="G9" s="30" t="inlineStr">
        <is>
          <t>High</t>
        </is>
      </c>
      <c r="H9" s="30" t="inlineStr">
        <is>
          <t>Lấy ID từ URL param và hiển thị dữ liệu tương ứng</t>
        </is>
      </c>
      <c r="I9" s="30" t="inlineStr">
        <is>
          <t>Hiển thị đúng ID dự án</t>
        </is>
      </c>
    </row>
    <row r="10" ht="18" customHeight="1" s="29">
      <c r="B10" s="30" t="inlineStr">
        <is>
          <t>2026-06-28</t>
        </is>
      </c>
      <c r="C10" s="30" t="inlineStr">
        <is>
          <t>C</t>
        </is>
      </c>
      <c r="D10" s="30" t="inlineStr">
        <is>
          <t>Gemini</t>
        </is>
      </c>
      <c r="E10" s="30" t="inlineStr">
        <is>
          <t>Viết ProtectedRoute.jsx bảo vệ trang Admin Dashboard</t>
        </is>
      </c>
      <c r="F10" s="30" t="inlineStr">
        <is>
          <t>src/components/ProtectedRoute.jsx</t>
        </is>
      </c>
      <c r="G10" s="30" t="inlineStr">
        <is>
          <t>Medium</t>
        </is>
      </c>
      <c r="H10" s="30" t="inlineStr">
        <is>
          <t>Chuyển hướng về trang chủ khi chưa login</t>
        </is>
      </c>
      <c r="I10" s="30" t="inlineStr">
        <is>
          <t>Chặn truy cập trái phép</t>
        </is>
      </c>
    </row>
    <row r="11" ht="18" customHeight="1" s="29">
      <c r="B11" s="30" t="inlineStr">
        <is>
          <t>2026-06-28</t>
        </is>
      </c>
      <c r="C11" s="30" t="inlineStr">
        <is>
          <t>A</t>
        </is>
      </c>
      <c r="D11" s="30" t="inlineStr">
        <is>
          <t>Gemini</t>
        </is>
      </c>
      <c r="E11" s="30" t="inlineStr">
        <is>
          <t>Viết NotFoundPage.jsx xử lý lỗi Route 404</t>
        </is>
      </c>
      <c r="F11" s="30" t="inlineStr">
        <is>
          <t>src/pages/NotFoundPage.jsx</t>
        </is>
      </c>
      <c r="G11" s="30" t="inlineStr">
        <is>
          <t>Low</t>
        </is>
      </c>
      <c r="H11" s="30" t="inlineStr">
        <is>
          <t>Thêm nút quay lại trang chủ</t>
        </is>
      </c>
      <c r="I11" s="30" t="inlineStr">
        <is>
          <t>Hiển thị 404 chuẩn UX</t>
        </is>
      </c>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06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2026-06-29</t>
        </is>
      </c>
      <c r="C8" s="30" t="inlineStr">
        <is>
          <t>A</t>
        </is>
      </c>
      <c r="D8" s="30" t="inlineStr">
        <is>
          <t>Gemini</t>
        </is>
      </c>
      <c r="E8" s="30" t="inlineStr">
        <is>
          <t>Tạo ProjectContext.jsx chia sẻ savedProjects toàn cục không props drilling</t>
        </is>
      </c>
      <c r="F8" s="30" t="inlineStr">
        <is>
          <t>src/context/ProjectContext.jsx</t>
        </is>
      </c>
      <c r="G8" s="30" t="inlineStr">
        <is>
          <t>High</t>
        </is>
      </c>
      <c r="H8" s="30" t="inlineStr">
        <is>
          <t>Viết custom hook useProject() dễ dàng gọi context</t>
        </is>
      </c>
      <c r="I8" s="30" t="inlineStr">
        <is>
          <t>Context hoạt động mượt mượt</t>
        </is>
      </c>
    </row>
    <row r="9" ht="18" customHeight="1" s="29">
      <c r="B9" s="30" t="inlineStr">
        <is>
          <t>2026-06-29</t>
        </is>
      </c>
      <c r="C9" s="30" t="inlineStr">
        <is>
          <t>B</t>
        </is>
      </c>
      <c r="D9" s="30" t="inlineStr">
        <is>
          <t>Gemini</t>
        </is>
      </c>
      <c r="E9" s="30" t="inlineStr">
        <is>
          <t>Viết ThemeContext.jsx chuyển đổi giao diện Sáng/Tối lưu localStorage</t>
        </is>
      </c>
      <c r="F9" s="30" t="inlineStr">
        <is>
          <t>src/context/ThemeContext.jsx</t>
        </is>
      </c>
      <c r="G9" s="30" t="inlineStr">
        <is>
          <t>Medium</t>
        </is>
      </c>
      <c r="H9" s="30" t="inlineStr">
        <is>
          <t>Đồng bộ theme với document body class</t>
        </is>
      </c>
      <c r="I9" s="30" t="inlineStr">
        <is>
          <t>Đổi theme không mất state</t>
        </is>
      </c>
    </row>
    <row r="10" ht="18" customHeight="1" s="29">
      <c r="B10" s="30" t="inlineStr">
        <is>
          <t>2026-06-29</t>
        </is>
      </c>
      <c r="C10" s="30" t="inlineStr">
        <is>
          <t>C</t>
        </is>
      </c>
      <c r="D10" s="30" t="inlineStr">
        <is>
          <t>Gemini</t>
        </is>
      </c>
      <c r="E10" s="30" t="inlineStr">
        <is>
          <t>Dùng useEffect mockup fetch API 800ms và useRef auto focus ô tìm kiếm</t>
        </is>
      </c>
      <c r="F10" s="30" t="inlineStr">
        <is>
          <t>src/pages/ProjectListPage.jsx</t>
        </is>
      </c>
      <c r="G10" s="30" t="inlineStr">
        <is>
          <t>High</t>
        </is>
      </c>
      <c r="H10" s="30" t="inlineStr">
        <is>
          <t>Thêm cleanup timer cho useEffect khi unmount</t>
        </is>
      </c>
      <c r="I10" s="30" t="inlineStr">
        <is>
          <t>Auto focus thành công</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07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2026-06-30</t>
        </is>
      </c>
      <c r="C8" s="30" t="inlineStr">
        <is>
          <t>A</t>
        </is>
      </c>
      <c r="D8" s="30" t="inlineStr">
        <is>
          <t>Gemini</t>
        </is>
      </c>
      <c r="E8" s="30" t="inlineStr">
        <is>
          <t>Xây dựng projectService.js sử dụng axios.create cho 5 hàm CRUD</t>
        </is>
      </c>
      <c r="F8" s="30" t="inlineStr">
        <is>
          <t>src/services/projectService.js</t>
        </is>
      </c>
      <c r="G8" s="30" t="inlineStr">
        <is>
          <t>High</t>
        </is>
      </c>
      <c r="H8" s="30" t="inlineStr">
        <is>
          <t>Cấu hình BaseURL và timeout 5000ms</t>
        </is>
      </c>
      <c r="I8" s="30" t="inlineStr">
        <is>
          <t>Gọi API CRUD thành công</t>
        </is>
      </c>
    </row>
    <row r="9" ht="18" customHeight="1" s="29">
      <c r="B9" s="30" t="inlineStr">
        <is>
          <t>2026-06-30</t>
        </is>
      </c>
      <c r="C9" s="30" t="inlineStr">
        <is>
          <t>B</t>
        </is>
      </c>
      <c r="D9" s="30" t="inlineStr">
        <is>
          <t>Gemini</t>
        </is>
      </c>
      <c r="E9" s="30" t="inlineStr">
        <is>
          <t>Quản lý 3 trạng thái bất đồng bộ Loading Spinner, Error Alert và Success Data</t>
        </is>
      </c>
      <c r="F9" s="30" t="inlineStr">
        <is>
          <t>src/pages/ProjectListPage.jsx</t>
        </is>
      </c>
      <c r="G9" s="30" t="inlineStr">
        <is>
          <t>Medium</t>
        </is>
      </c>
      <c r="H9" s="30" t="inlineStr">
        <is>
          <t>Thêm nút retry khi xảy ra lỗi network</t>
        </is>
      </c>
      <c r="I9" s="30" t="inlineStr">
        <is>
          <t>Spinner quay khi loading</t>
        </is>
      </c>
    </row>
    <row r="10" ht="18" customHeight="1" s="29">
      <c r="B10" s="30" t="inlineStr">
        <is>
          <t>2026-06-30</t>
        </is>
      </c>
      <c r="C10" s="30" t="inlineStr">
        <is>
          <t>C</t>
        </is>
      </c>
      <c r="D10" s="30" t="inlineStr">
        <is>
          <t>Gemini</t>
        </is>
      </c>
      <c r="E10" s="30" t="inlineStr">
        <is>
          <t>Thiết kế ProjectManagePage.jsx (Admin CRUD) với Form Modal Thêm/Sửa dự án</t>
        </is>
      </c>
      <c r="F10" s="30" t="inlineStr">
        <is>
          <t>src/pages/admin/ProjectManagePage.jsx</t>
        </is>
      </c>
      <c r="G10" s="30" t="inlineStr">
        <is>
          <t>High</t>
        </is>
      </c>
      <c r="H10" s="30" t="inlineStr">
        <is>
          <t>Validate dữ liệu form trước khi submit API</t>
        </is>
      </c>
      <c r="I10" s="30" t="inlineStr">
        <is>
          <t>Thêm/Sửa/Xóa cập nhật API</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08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2026-07-01</t>
        </is>
      </c>
      <c r="C8" s="30" t="inlineStr">
        <is>
          <t>A</t>
        </is>
      </c>
      <c r="D8" s="30" t="inlineStr">
        <is>
          <t>Gemini</t>
        </is>
      </c>
      <c r="E8" s="30" t="inlineStr">
        <is>
          <t>Viết custom hook useFetch(url, params) tái sử dụng logic gọi API</t>
        </is>
      </c>
      <c r="F8" s="30" t="inlineStr">
        <is>
          <t>src/hooks/useFetch.js</t>
        </is>
      </c>
      <c r="G8" s="30" t="inlineStr">
        <is>
          <t>High</t>
        </is>
      </c>
      <c r="H8" s="30" t="inlineStr">
        <is>
          <t>Dùng useCallback tránh vòng lặp vô hạn</t>
        </is>
      </c>
      <c r="I8" s="30" t="inlineStr">
        <is>
          <t>Code trang List gọn hơn 40%</t>
        </is>
      </c>
    </row>
    <row r="9" ht="18" customHeight="1" s="29">
      <c r="B9" s="30" t="inlineStr">
        <is>
          <t>2026-07-01</t>
        </is>
      </c>
      <c r="C9" s="30" t="inlineStr">
        <is>
          <t>B</t>
        </is>
      </c>
      <c r="D9" s="30" t="inlineStr">
        <is>
          <t>Gemini</t>
        </is>
      </c>
      <c r="E9" s="30" t="inlineStr">
        <is>
          <t>Viết custom hook useDebounce(value, delay) giảm số request tìm kiếm</t>
        </is>
      </c>
      <c r="F9" s="30" t="inlineStr">
        <is>
          <t>src/hooks/useDebounce.js</t>
        </is>
      </c>
      <c r="G9" s="30" t="inlineStr">
        <is>
          <t>High</t>
        </is>
      </c>
      <c r="H9" s="30" t="inlineStr">
        <is>
          <t>Delay 500ms khi gõ từ khóa tìm kiếm</t>
        </is>
      </c>
      <c r="I9" s="30" t="inlineStr">
        <is>
          <t>Giảm 80% số lượng request</t>
        </is>
      </c>
    </row>
    <row r="10" ht="18" customHeight="1" s="29">
      <c r="B10" s="30" t="inlineStr">
        <is>
          <t>2026-07-01</t>
        </is>
      </c>
      <c r="C10" s="30" t="inlineStr">
        <is>
          <t>C</t>
        </is>
      </c>
      <c r="D10" s="30" t="inlineStr">
        <is>
          <t>Gemini</t>
        </is>
      </c>
      <c r="E10" s="30" t="inlineStr">
        <is>
          <t>Viết custom hook useLocalStorage(key, initialValue) đồng bộ Wishlist</t>
        </is>
      </c>
      <c r="F10" s="30" t="inlineStr">
        <is>
          <t>src/hooks/useLocalStorage.js</t>
        </is>
      </c>
      <c r="G10" s="30" t="inlineStr">
        <is>
          <t>Medium</t>
        </is>
      </c>
      <c r="H10" s="30" t="inlineStr">
        <is>
          <t>Thêm try-catch khi parse JSON từ Storage</t>
        </is>
      </c>
      <c r="I10" s="30" t="inlineStr">
        <is>
          <t>Dữ liệu giữ nguyên khi F5</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09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2026-07-02</t>
        </is>
      </c>
      <c r="C8" s="30" t="inlineStr">
        <is>
          <t>A</t>
        </is>
      </c>
      <c r="D8" s="30" t="inlineStr">
        <is>
          <t>Gemini</t>
        </is>
      </c>
      <c r="E8" s="30" t="inlineStr">
        <is>
          <t>Cấu hình Redux Toolkit Store &amp; projectSlice quản lý state tập trung</t>
        </is>
      </c>
      <c r="F8" s="30" t="inlineStr">
        <is>
          <t>src/store/projectSlice.js</t>
        </is>
      </c>
      <c r="G8" s="30" t="inlineStr">
        <is>
          <t>High</t>
        </is>
      </c>
      <c r="H8" s="30" t="inlineStr">
        <is>
          <t>Migrate Header &amp; Cards sang useSelector/useDispatch</t>
        </is>
      </c>
      <c r="I8" s="30" t="inlineStr">
        <is>
          <t>Redux DevTools time-travel OK</t>
        </is>
      </c>
    </row>
    <row r="9" ht="18" customHeight="1" s="29">
      <c r="B9" s="30" t="inlineStr">
        <is>
          <t>2026-07-02</t>
        </is>
      </c>
      <c r="C9" s="30" t="inlineStr">
        <is>
          <t>B</t>
        </is>
      </c>
      <c r="D9" s="30" t="inlineStr">
        <is>
          <t>Gemini</t>
        </is>
      </c>
      <c r="E9" s="30" t="inlineStr">
        <is>
          <t>Áp dụng React.lazy + Suspense code splitting theo Route tối ưu bundle size</t>
        </is>
      </c>
      <c r="F9" s="30" t="inlineStr">
        <is>
          <t>src/App.jsx</t>
        </is>
      </c>
      <c r="G9" s="30" t="inlineStr">
        <is>
          <t>Medium</t>
        </is>
      </c>
      <c r="H9" s="30" t="inlineStr">
        <is>
          <t>Lazy load các trang admin và chi tiết</t>
        </is>
      </c>
      <c r="I9" s="30" t="inlineStr">
        <is>
          <t>Kích thước bundle giảm 35%</t>
        </is>
      </c>
    </row>
    <row r="10" ht="18" customHeight="1" s="29">
      <c r="B10" s="30" t="inlineStr">
        <is>
          <t>2026-07-02</t>
        </is>
      </c>
      <c r="C10" s="30" t="inlineStr">
        <is>
          <t>C</t>
        </is>
      </c>
      <c r="D10" s="30" t="inlineStr">
        <is>
          <t>Gemini</t>
        </is>
      </c>
      <c r="E10" s="30" t="inlineStr">
        <is>
          <t>Cấu hình vercel.json và deploy thành công ứng dụng FJMS trực tuyến</t>
        </is>
      </c>
      <c r="F10" s="30" t="inlineStr">
        <is>
          <t>vercel.json</t>
        </is>
      </c>
      <c r="G10" s="30" t="inlineStr">
        <is>
          <t>Medium</t>
        </is>
      </c>
      <c r="H10" s="30" t="inlineStr">
        <is>
          <t>Cấu hình rewrite URL phục vụ SPA không bị lỗi 404</t>
        </is>
      </c>
      <c r="I10" s="30" t="inlineStr">
        <is>
          <t>Live URL Vercel mượt mượt</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n"/>
      <c r="D21" s="30" t="n"/>
      <c r="E21" s="30" t="n"/>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n"/>
      <c r="D25" s="30" t="n"/>
      <c r="E25" s="30" t="n"/>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n"/>
      <c r="D29" s="30" t="n"/>
      <c r="E29" s="30" t="n"/>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t>
        </is>
      </c>
      <c r="C40" s="24" t="n"/>
      <c r="D40" s="18" t="n"/>
      <c r="E40" s="30" t="n"/>
      <c r="F40" s="24" t="n"/>
      <c r="G40" s="24" t="n"/>
      <c r="H40" s="24" t="n"/>
      <c r="I40" s="18" t="n"/>
    </row>
    <row r="41" ht="21.75" customHeight="1" s="29">
      <c r="B41" s="32" t="inlineStr">
        <is>
          <t>Kết quả AI trả về và vấn đề gặp phải:</t>
        </is>
      </c>
      <c r="C41" s="24" t="n"/>
      <c r="D41" s="18" t="n"/>
      <c r="E41" s="30" t="n"/>
      <c r="F41" s="24" t="n"/>
      <c r="G41" s="24" t="n"/>
      <c r="H41" s="24" t="n"/>
      <c r="I41" s="18" t="n"/>
    </row>
    <row r="42" ht="21.75" customHeight="1" s="29">
      <c r="B42" s="32" t="inlineStr">
        <is>
          <t>Nhóm đã chỉnh sửa / sử dụng như thế nào:</t>
        </is>
      </c>
      <c r="C42" s="24" t="n"/>
      <c r="D42" s="18" t="n"/>
      <c r="E42" s="30" t="n"/>
      <c r="F42" s="24" t="n"/>
      <c r="G42" s="24" t="n"/>
      <c r="H42" s="24" t="n"/>
      <c r="I42" s="18" t="n"/>
    </row>
    <row r="43" ht="21.75" customHeight="1" s="29">
      <c r="B43" s="32" t="inlineStr">
        <is>
          <t>Kiểm chứng (test pass/fail, kết quả đúng không):</t>
        </is>
      </c>
      <c r="C43" s="24" t="n"/>
      <c r="D43" s="18" t="n"/>
      <c r="E43" s="30" t="n"/>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Trưởng nhóm</t>
        </is>
      </c>
      <c r="C59" s="24" t="n"/>
      <c r="D59" s="24" t="n"/>
      <c r="E59" s="24" t="n"/>
      <c r="F59" s="24" t="n"/>
      <c r="G59" s="24" t="n"/>
      <c r="H59" s="24" t="n"/>
      <c r="I59" s="18" t="n"/>
    </row>
    <row r="60" ht="18" customHeight="1" s="29">
      <c r="B60" s="35" t="inlineStr">
        <is>
          <t>Đã làm gì trong tuần này? (*)</t>
        </is>
      </c>
      <c r="C60" s="24" t="n"/>
      <c r="D60" s="18" t="n"/>
      <c r="E60" s="34" t="inlineStr">
        <is>
          <t>💬 Liệt kê cụ thể: tính năng, test case, module, file...</t>
        </is>
      </c>
    </row>
    <row r="61" ht="18" customHeight="1" s="29">
      <c r="B61" s="35" t="inlineStr">
        <is>
          <t>AI đã hỗ trợ như thế nào?</t>
        </is>
      </c>
      <c r="C61" s="24" t="n"/>
      <c r="D61" s="18" t="n"/>
      <c r="E61" s="34" t="inlineStr">
        <is>
          <t>💬 Tóm tắt cách dùng AI: tool nào, việc gì, hiệu quả ra sao</t>
        </is>
      </c>
    </row>
    <row r="62" ht="18" customHeight="1" s="29">
      <c r="B62" s="35" t="inlineStr">
        <is>
          <t>AI sai hoặc thiếu ở đâu? (*)</t>
        </is>
      </c>
      <c r="C62" s="24" t="n"/>
      <c r="D62" s="18" t="n"/>
      <c r="E62" s="34" t="inlineStr">
        <is>
          <t>💬 ⚠️ Bắt buộc ≥ 2 ví dụ cụ thể về điểm AI chưa đúng/đủ</t>
        </is>
      </c>
    </row>
    <row r="63" ht="18" customHeight="1" s="29">
      <c r="B63" s="35" t="inlineStr">
        <is>
          <t>Khó khăn gặp phải</t>
        </is>
      </c>
      <c r="C63" s="24" t="n"/>
      <c r="D63" s="18" t="n"/>
      <c r="E63" s="34" t="inlineStr">
        <is>
          <t>💬 Kỹ thuật, nhóm, công cụ, môi trường...</t>
        </is>
      </c>
    </row>
    <row r="64" ht="18" customHeight="1" s="29">
      <c r="B64" s="35" t="inlineStr">
        <is>
          <t>Nếu làm lại, sẽ cải thiện điều gì?</t>
        </is>
      </c>
      <c r="C64" s="24" t="n"/>
      <c r="D64" s="18" t="n"/>
      <c r="E64" s="34" t="inlineStr">
        <is>
          <t>💬 Quy trình, cách dùng AI, phân công nhóm...</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10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B2:L22"/>
  <sheetViews>
    <sheetView showGridLines="0" topLeftCell="A7" zoomScaleNormal="100" workbookViewId="0">
      <selection activeCell="D26" sqref="D26"/>
    </sheetView>
  </sheetViews>
  <sheetFormatPr baseColWidth="8" defaultColWidth="8.5546875" defaultRowHeight="14.4"/>
  <cols>
    <col width="3" customWidth="1" style="29" min="1" max="1"/>
    <col width="12" customWidth="1" style="29" min="2" max="2"/>
    <col width="16" customWidth="1" style="29" min="3" max="6"/>
    <col width="13" customWidth="1" style="29" min="7" max="11"/>
  </cols>
  <sheetData>
    <row r="1" ht="13.5" customHeight="1" s="29"/>
    <row r="2" ht="33.75" customHeight="1" s="29">
      <c r="B2" s="43" t="inlineStr">
        <is>
          <t>SUMMARY — Tổng hợp cả học kỳ</t>
        </is>
      </c>
      <c r="C2" s="24" t="n"/>
      <c r="D2" s="24" t="n"/>
      <c r="E2" s="24" t="n"/>
      <c r="F2" s="24" t="n"/>
      <c r="G2" s="24" t="n"/>
      <c r="H2" s="24" t="n"/>
      <c r="I2" s="24" t="n"/>
      <c r="J2" s="24" t="n"/>
      <c r="K2" s="24" t="n"/>
      <c r="L2" s="18" t="n"/>
    </row>
    <row r="4" ht="19.5" customHeight="1" s="29">
      <c r="B4" s="23" t="inlineStr">
        <is>
          <t>📊  Tổng số lần dùng AI theo tuần &amp; thành viên (tự động đếm từ các sheet Week)</t>
        </is>
      </c>
      <c r="C4" s="24" t="n"/>
      <c r="D4" s="24" t="n"/>
      <c r="E4" s="24" t="n"/>
      <c r="F4" s="24" t="n"/>
      <c r="G4" s="24" t="n"/>
      <c r="H4" s="24" t="n"/>
      <c r="I4" s="24" t="n"/>
      <c r="J4" s="24" t="n"/>
      <c r="K4" s="24" t="n"/>
      <c r="L4" s="18" t="n"/>
    </row>
    <row r="5" ht="19.5" customHeight="1" s="29">
      <c r="B5" s="1" t="inlineStr">
        <is>
          <t>Tuần</t>
        </is>
      </c>
      <c r="C5" s="1" t="inlineStr">
        <is>
          <t>TV-A</t>
        </is>
      </c>
      <c r="D5" s="1" t="inlineStr">
        <is>
          <t>TV-B</t>
        </is>
      </c>
      <c r="E5" s="1" t="inlineStr">
        <is>
          <t>TV-C</t>
        </is>
      </c>
      <c r="F5" s="1" t="inlineStr">
        <is>
          <t>TV-D</t>
        </is>
      </c>
      <c r="G5" s="1" t="inlineStr">
        <is>
          <t>TV-E</t>
        </is>
      </c>
      <c r="H5" s="1" t="inlineStr">
        <is>
          <t>Tổng</t>
        </is>
      </c>
      <c r="I5" s="1" t="inlineStr">
        <is>
          <t>Low</t>
        </is>
      </c>
      <c r="J5" s="1" t="inlineStr">
        <is>
          <t>Medium</t>
        </is>
      </c>
      <c r="K5" s="1" t="inlineStr">
        <is>
          <t>High</t>
        </is>
      </c>
      <c r="L5" s="1" t="inlineStr">
        <is>
          <t>Ghi chú</t>
        </is>
      </c>
    </row>
    <row r="6" ht="18" customHeight="1" s="29">
      <c r="B6" s="4" t="inlineStr">
        <is>
          <t>Week 01</t>
        </is>
      </c>
      <c r="C6" s="4">
        <f>COUNTIF(Week_01!$C$8:$C$15,"A")</f>
        <v/>
      </c>
      <c r="D6" s="4">
        <f>COUNTIF(Week_01!$C$8:$C$15,"B")</f>
        <v/>
      </c>
      <c r="E6" s="4">
        <f>COUNTIF(Week_01!$C$8:$C$15,"C")</f>
        <v/>
      </c>
      <c r="F6" s="4">
        <f>COUNTIF(Week_01!$C$8:$C$15,"D")</f>
        <v/>
      </c>
      <c r="G6" s="4">
        <f>COUNTIF(Week_01!$C$8:$C$15,"E")</f>
        <v/>
      </c>
      <c r="H6" s="4">
        <f>SUM(C6:G6)</f>
        <v/>
      </c>
      <c r="I6" s="4">
        <f>COUNTIF(Week_01!$G$8:$G$15,"Low")</f>
        <v/>
      </c>
      <c r="J6" s="4">
        <f>COUNTIF(Week_01!$G$8:$G$15,"Medium")</f>
        <v/>
      </c>
      <c r="K6" s="4">
        <f>COUNTIF(Week_01!$G$8:$G$15,"High")</f>
        <v/>
      </c>
      <c r="L6" s="4" t="n"/>
    </row>
    <row r="7" ht="18" customHeight="1" s="29">
      <c r="B7" s="4" t="inlineStr">
        <is>
          <t>Week 02</t>
        </is>
      </c>
      <c r="C7" s="4">
        <f>COUNTIF(Week_02!$C$8:$C$15,"A")</f>
        <v/>
      </c>
      <c r="D7" s="4">
        <f>COUNTIF(Week_02!$C$8:$C$15,"B")</f>
        <v/>
      </c>
      <c r="E7" s="4">
        <f>COUNTIF(Week_02!$C$8:$C$15,"C")</f>
        <v/>
      </c>
      <c r="F7" s="4">
        <f>COUNTIF(Week_02!$C$8:$C$15,"D")</f>
        <v/>
      </c>
      <c r="G7" s="4">
        <f>COUNTIF(Week_02!$C$8:$C$15,"E")</f>
        <v/>
      </c>
      <c r="H7" s="4">
        <f>SUM(C7:G7)</f>
        <v/>
      </c>
      <c r="I7" s="4">
        <f>COUNTIF(Week_02!$G$8:$G$15,"Low")</f>
        <v/>
      </c>
      <c r="J7" s="4">
        <f>COUNTIF(Week_02!$G$8:$G$15,"Medium")</f>
        <v/>
      </c>
      <c r="K7" s="4">
        <f>COUNTIF(Week_02!$G$8:$G$15,"High")</f>
        <v/>
      </c>
      <c r="L7" s="4" t="n"/>
    </row>
    <row r="8" ht="18" customHeight="1" s="29">
      <c r="B8" s="4" t="inlineStr">
        <is>
          <t>Week 03</t>
        </is>
      </c>
      <c r="C8" s="4">
        <f>COUNTIF(Week_03!$C$8:$C$15,"A")</f>
        <v/>
      </c>
      <c r="D8" s="4">
        <f>COUNTIF(Week_03!$C$8:$C$15,"B")</f>
        <v/>
      </c>
      <c r="E8" s="4">
        <f>COUNTIF(Week_03!$C$8:$C$15,"C")</f>
        <v/>
      </c>
      <c r="F8" s="4">
        <f>COUNTIF(Week_03!$C$8:$C$15,"D")</f>
        <v/>
      </c>
      <c r="G8" s="4">
        <f>COUNTIF(Week_03!$C$8:$C$15,"E")</f>
        <v/>
      </c>
      <c r="H8" s="4">
        <f>SUM(C8:G8)</f>
        <v/>
      </c>
      <c r="I8" s="4">
        <f>COUNTIF(Week_03!$G$8:$G$15,"Low")</f>
        <v/>
      </c>
      <c r="J8" s="4">
        <f>COUNTIF(Week_03!$G$8:$G$15,"Medium")</f>
        <v/>
      </c>
      <c r="K8" s="4">
        <f>COUNTIF(Week_03!$G$8:$G$15,"High")</f>
        <v/>
      </c>
      <c r="L8" s="4" t="n"/>
    </row>
    <row r="9" ht="18" customHeight="1" s="29">
      <c r="B9" s="4" t="inlineStr">
        <is>
          <t>Week 04</t>
        </is>
      </c>
      <c r="C9" s="4">
        <f>COUNTIF(Week_04!$C$8:$C$15,"A")</f>
        <v/>
      </c>
      <c r="D9" s="4">
        <f>COUNTIF(Week_04!$C$8:$C$15,"B")</f>
        <v/>
      </c>
      <c r="E9" s="4">
        <f>COUNTIF(Week_04!$C$8:$C$15,"C")</f>
        <v/>
      </c>
      <c r="F9" s="4">
        <f>COUNTIF(Week_04!$C$8:$C$15,"D")</f>
        <v/>
      </c>
      <c r="G9" s="4">
        <f>COUNTIF(Week_04!$C$8:$C$15,"E")</f>
        <v/>
      </c>
      <c r="H9" s="4">
        <f>SUM(C9:G9)</f>
        <v/>
      </c>
      <c r="I9" s="4">
        <f>COUNTIF(Week_04!$G$8:$G$15,"Low")</f>
        <v/>
      </c>
      <c r="J9" s="4">
        <f>COUNTIF(Week_04!$G$8:$G$15,"Medium")</f>
        <v/>
      </c>
      <c r="K9" s="4">
        <f>COUNTIF(Week_04!$G$8:$G$15,"High")</f>
        <v/>
      </c>
      <c r="L9" s="4" t="n"/>
    </row>
    <row r="10" ht="18" customHeight="1" s="29">
      <c r="B10" s="4" t="inlineStr">
        <is>
          <t>Week 05</t>
        </is>
      </c>
      <c r="C10" s="4">
        <f>COUNTIF(Week_05!$C$8:$C$15,"A")</f>
        <v/>
      </c>
      <c r="D10" s="4">
        <f>COUNTIF(Week_05!$C$8:$C$15,"B")</f>
        <v/>
      </c>
      <c r="E10" s="4">
        <f>COUNTIF(Week_05!$C$8:$C$15,"C")</f>
        <v/>
      </c>
      <c r="F10" s="4">
        <f>COUNTIF(Week_05!$C$8:$C$15,"D")</f>
        <v/>
      </c>
      <c r="G10" s="4">
        <f>COUNTIF(Week_05!$C$8:$C$15,"E")</f>
        <v/>
      </c>
      <c r="H10" s="4">
        <f>SUM(C10:G10)</f>
        <v/>
      </c>
      <c r="I10" s="4">
        <f>COUNTIF(Week_05!$G$8:$G$15,"Low")</f>
        <v/>
      </c>
      <c r="J10" s="4">
        <f>COUNTIF(Week_05!$G$8:$G$15,"Medium")</f>
        <v/>
      </c>
      <c r="K10" s="4">
        <f>COUNTIF(Week_05!$G$8:$G$15,"High")</f>
        <v/>
      </c>
      <c r="L10" s="4" t="n"/>
    </row>
    <row r="11" ht="18" customHeight="1" s="29">
      <c r="B11" s="4" t="inlineStr">
        <is>
          <t>Week 06</t>
        </is>
      </c>
      <c r="C11" s="4">
        <f>COUNTIF(Week_06!$C$8:$C$15,"A")</f>
        <v/>
      </c>
      <c r="D11" s="4">
        <f>COUNTIF(Week_06!$C$8:$C$15,"B")</f>
        <v/>
      </c>
      <c r="E11" s="4">
        <f>COUNTIF(Week_06!$C$8:$C$15,"C")</f>
        <v/>
      </c>
      <c r="F11" s="4">
        <f>COUNTIF(Week_06!$C$8:$C$15,"D")</f>
        <v/>
      </c>
      <c r="G11" s="4">
        <f>COUNTIF(Week_06!$C$8:$C$15,"E")</f>
        <v/>
      </c>
      <c r="H11" s="4">
        <f>SUM(C11:G11)</f>
        <v/>
      </c>
      <c r="I11" s="4">
        <f>COUNTIF(Week_06!$G$8:$G$15,"Low")</f>
        <v/>
      </c>
      <c r="J11" s="4">
        <f>COUNTIF(Week_06!$G$8:$G$15,"Medium")</f>
        <v/>
      </c>
      <c r="K11" s="4">
        <f>COUNTIF(Week_06!$G$8:$G$15,"High")</f>
        <v/>
      </c>
      <c r="L11" s="4" t="n"/>
    </row>
    <row r="12" ht="18" customHeight="1" s="29">
      <c r="B12" s="4" t="inlineStr">
        <is>
          <t>Week 07</t>
        </is>
      </c>
      <c r="C12" s="4">
        <f>COUNTIF(Week_07!$C$8:$C$15,"A")</f>
        <v/>
      </c>
      <c r="D12" s="4">
        <f>COUNTIF(Week_07!$C$8:$C$15,"B")</f>
        <v/>
      </c>
      <c r="E12" s="4">
        <f>COUNTIF(Week_07!$C$8:$C$15,"C")</f>
        <v/>
      </c>
      <c r="F12" s="4">
        <f>COUNTIF(Week_07!$C$8:$C$15,"D")</f>
        <v/>
      </c>
      <c r="G12" s="4">
        <f>COUNTIF(Week_07!$C$8:$C$15,"E")</f>
        <v/>
      </c>
      <c r="H12" s="4">
        <f>SUM(C12:G12)</f>
        <v/>
      </c>
      <c r="I12" s="4">
        <f>COUNTIF(Week_07!$G$8:$G$15,"Low")</f>
        <v/>
      </c>
      <c r="J12" s="4">
        <f>COUNTIF(Week_07!$G$8:$G$15,"Medium")</f>
        <v/>
      </c>
      <c r="K12" s="4">
        <f>COUNTIF(Week_07!$G$8:$G$15,"High")</f>
        <v/>
      </c>
      <c r="L12" s="4" t="n"/>
    </row>
    <row r="13" ht="18" customHeight="1" s="29">
      <c r="B13" s="4" t="inlineStr">
        <is>
          <t>Week 08</t>
        </is>
      </c>
      <c r="C13" s="4">
        <f>COUNTIF(Week_08!$C$8:$C$15,"A")</f>
        <v/>
      </c>
      <c r="D13" s="4">
        <f>COUNTIF(Week_08!$C$8:$C$15,"B")</f>
        <v/>
      </c>
      <c r="E13" s="4">
        <f>COUNTIF(Week_08!$C$8:$C$15,"C")</f>
        <v/>
      </c>
      <c r="F13" s="4">
        <f>COUNTIF(Week_08!$C$8:$C$15,"D")</f>
        <v/>
      </c>
      <c r="G13" s="4">
        <f>COUNTIF(Week_08!$C$8:$C$15,"E")</f>
        <v/>
      </c>
      <c r="H13" s="4">
        <f>SUM(C13:G13)</f>
        <v/>
      </c>
      <c r="I13" s="4">
        <f>COUNTIF(Week_08!$G$8:$G$15,"Low")</f>
        <v/>
      </c>
      <c r="J13" s="4">
        <f>COUNTIF(Week_08!$G$8:$G$15,"Medium")</f>
        <v/>
      </c>
      <c r="K13" s="4">
        <f>COUNTIF(Week_08!$G$8:$G$15,"High")</f>
        <v/>
      </c>
      <c r="L13" s="4" t="n"/>
    </row>
    <row r="14" ht="18" customHeight="1" s="29">
      <c r="B14" s="4" t="inlineStr">
        <is>
          <t>Week 09</t>
        </is>
      </c>
      <c r="C14" s="4">
        <f>COUNTIF(Week_09!$C$8:$C$15,"A")</f>
        <v/>
      </c>
      <c r="D14" s="4">
        <f>COUNTIF(Week_09!$C$8:$C$15,"B")</f>
        <v/>
      </c>
      <c r="E14" s="4">
        <f>COUNTIF(Week_09!$C$8:$C$15,"C")</f>
        <v/>
      </c>
      <c r="F14" s="4">
        <f>COUNTIF(Week_09!$C$8:$C$15,"D")</f>
        <v/>
      </c>
      <c r="G14" s="4">
        <f>COUNTIF(Week_09!$C$8:$C$15,"E")</f>
        <v/>
      </c>
      <c r="H14" s="4">
        <f>SUM(C14:G14)</f>
        <v/>
      </c>
      <c r="I14" s="4">
        <f>COUNTIF(Week_09!$G$8:$G$15,"Low")</f>
        <v/>
      </c>
      <c r="J14" s="4">
        <f>COUNTIF(Week_09!$G$8:$G$15,"Medium")</f>
        <v/>
      </c>
      <c r="K14" s="4">
        <f>COUNTIF(Week_09!$G$8:$G$15,"High")</f>
        <v/>
      </c>
      <c r="L14" s="4" t="n"/>
    </row>
    <row r="15" ht="18" customHeight="1" s="29">
      <c r="B15" s="4" t="inlineStr">
        <is>
          <t>Week 10</t>
        </is>
      </c>
      <c r="C15" s="4">
        <f>COUNTIF(Week_10!$C$8:$C$15,"A")</f>
        <v/>
      </c>
      <c r="D15" s="4">
        <f>COUNTIF(Week_10!$C$8:$C$15,"B")</f>
        <v/>
      </c>
      <c r="E15" s="4">
        <f>COUNTIF(Week_10!$C$8:$C$15,"C")</f>
        <v/>
      </c>
      <c r="F15" s="4">
        <f>COUNTIF(Week_10!$C$8:$C$15,"D")</f>
        <v/>
      </c>
      <c r="G15" s="4">
        <f>COUNTIF(Week_10!$C$8:$C$15,"E")</f>
        <v/>
      </c>
      <c r="H15" s="4">
        <f>SUM(C15:G15)</f>
        <v/>
      </c>
      <c r="I15" s="4">
        <f>COUNTIF(Week_10!$G$8:$G$15,"Low")</f>
        <v/>
      </c>
      <c r="J15" s="4">
        <f>COUNTIF(Week_10!$G$8:$G$15,"Medium")</f>
        <v/>
      </c>
      <c r="K15" s="4">
        <f>COUNTIF(Week_10!$G$8:$G$15,"High")</f>
        <v/>
      </c>
      <c r="L15" s="4" t="n"/>
    </row>
    <row r="16" ht="19.5" customHeight="1" s="29">
      <c r="B16" s="1" t="inlineStr">
        <is>
          <t>TỔNG</t>
        </is>
      </c>
      <c r="C16" s="1">
        <f>SUM(C6:C15)</f>
        <v/>
      </c>
      <c r="D16" s="1">
        <f>SUM(D6:D15)</f>
        <v/>
      </c>
      <c r="E16" s="1">
        <f>SUM(E6:E15)</f>
        <v/>
      </c>
      <c r="F16" s="1">
        <f>SUM(F6:F15)</f>
        <v/>
      </c>
      <c r="G16" s="1">
        <f>SUM(G6:G15)</f>
        <v/>
      </c>
      <c r="H16" s="1">
        <f>SUM(H6:H15)</f>
        <v/>
      </c>
      <c r="I16" s="1">
        <f>SUM(I6:I15)</f>
        <v/>
      </c>
      <c r="J16" s="1">
        <f>SUM(J6:J15)</f>
        <v/>
      </c>
      <c r="K16" s="1">
        <f>SUM(K6:K15)</f>
        <v/>
      </c>
      <c r="L16" s="1" t="n"/>
    </row>
    <row r="18" ht="19.5" customHeight="1" s="29">
      <c r="B18" s="45" t="inlineStr">
        <is>
          <t>📝  Nhận xét tổng kết học kỳ của nhóm</t>
        </is>
      </c>
      <c r="C18" s="24" t="n"/>
      <c r="D18" s="24" t="n"/>
      <c r="E18" s="24" t="n"/>
      <c r="F18" s="24" t="n"/>
      <c r="G18" s="24" t="n"/>
      <c r="H18" s="24" t="n"/>
      <c r="I18" s="24" t="n"/>
      <c r="J18" s="24" t="n"/>
      <c r="K18" s="24" t="n"/>
      <c r="L18" s="18" t="n"/>
    </row>
    <row r="19" ht="21.75" customHeight="1" s="29">
      <c r="B19" s="46" t="inlineStr">
        <is>
          <t>Công cụ AI nhóm dùng nhiều nhất:</t>
        </is>
      </c>
      <c r="C19" s="24" t="n"/>
      <c r="D19" s="24" t="n"/>
      <c r="E19" s="30" t="n"/>
      <c r="F19" s="24" t="n"/>
      <c r="G19" s="24" t="n"/>
      <c r="H19" s="24" t="n"/>
      <c r="I19" s="24" t="n"/>
      <c r="J19" s="24" t="n"/>
      <c r="K19" s="24" t="n"/>
      <c r="L19" s="18" t="n"/>
    </row>
    <row r="20" ht="21.75" customHeight="1" s="29">
      <c r="B20" s="46" t="inlineStr">
        <is>
          <t>Tuần sử dụng AI hiệu quả nhất và lý do:</t>
        </is>
      </c>
      <c r="C20" s="24" t="n"/>
      <c r="D20" s="24" t="n"/>
      <c r="E20" s="30" t="n"/>
      <c r="F20" s="24" t="n"/>
      <c r="G20" s="24" t="n"/>
      <c r="H20" s="24" t="n"/>
      <c r="I20" s="24" t="n"/>
      <c r="J20" s="24" t="n"/>
      <c r="K20" s="24" t="n"/>
      <c r="L20" s="18" t="n"/>
    </row>
    <row r="21" ht="21.75" customHeight="1" s="29">
      <c r="B21" s="46" t="inlineStr">
        <is>
          <t>Điểm hạn chế / rủi ro khi dùng AI trong project:</t>
        </is>
      </c>
      <c r="C21" s="24" t="n"/>
      <c r="D21" s="24" t="n"/>
      <c r="E21" s="30" t="n"/>
      <c r="F21" s="24" t="n"/>
      <c r="G21" s="24" t="n"/>
      <c r="H21" s="24" t="n"/>
      <c r="I21" s="24" t="n"/>
      <c r="J21" s="24" t="n"/>
      <c r="K21" s="24" t="n"/>
      <c r="L21" s="18" t="n"/>
    </row>
    <row r="22" ht="32.25" customHeight="1" s="29">
      <c r="B22" s="46" t="inlineStr">
        <is>
          <t>Bài học lớn nhất từ việc dùng AI trong học kỳ này:</t>
        </is>
      </c>
      <c r="C22" s="24" t="n"/>
      <c r="D22" s="24" t="n"/>
      <c r="E22" s="30" t="n"/>
      <c r="F22" s="24" t="n"/>
      <c r="G22" s="24" t="n"/>
      <c r="H22" s="24" t="n"/>
      <c r="I22" s="24" t="n"/>
      <c r="J22" s="24" t="n"/>
      <c r="K22" s="24" t="n"/>
      <c r="L22" s="18" t="n"/>
    </row>
  </sheetData>
  <mergeCells count="11">
    <mergeCell ref="B4:L4"/>
    <mergeCell ref="B19:D19"/>
    <mergeCell ref="E20:L20"/>
    <mergeCell ref="E21:L21"/>
    <mergeCell ref="B22:D22"/>
    <mergeCell ref="B2:L2"/>
    <mergeCell ref="B21:D21"/>
    <mergeCell ref="E19:L19"/>
    <mergeCell ref="E22:L22"/>
    <mergeCell ref="B18:L18"/>
    <mergeCell ref="B20:D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2026-05-29T14:09:10Z</dcterms:created>
  <dcterms:modified xmlns:dcterms="http://purl.org/dc/terms/" xmlns:xsi="http://www.w3.org/2001/XMLSchema-instance" xsi:type="dcterms:W3CDTF">2026-07-21T07:48:05Z</dcterms:modified>
  <cp:lastModifiedBy>ADMIN</cp:lastModifiedBy>
  <cp:revision>0</cp:revision>
</cp:coreProperties>
</file>