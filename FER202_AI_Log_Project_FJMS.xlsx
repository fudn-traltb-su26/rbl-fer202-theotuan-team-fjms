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2456" firstSheet="2" activeTab="2"/>
  </bookViews>
  <sheets>
    <sheet sheetId="1" name="Hướng dẫn" state="visible" r:id="rId4"/>
    <sheet sheetId="2" name="Thông tin nhóm" state="visible" r:id="rId5"/>
    <sheet sheetId="3" name="Week_01" state="visible" r:id="rId6"/>
    <sheet sheetId="4" name="Week_02" state="visible" r:id="rId7"/>
    <sheet sheetId="5" name="Week_03" state="visible" r:id="rId8"/>
    <sheet sheetId="6" name="Week_04" state="visible" r:id="rId9"/>
    <sheet sheetId="7" name="Week_05" state="visible" r:id="rId10"/>
    <sheet sheetId="8" name="Week_06" state="visible" r:id="rId11"/>
    <sheet sheetId="9" name="Week_07" state="visible" r:id="rId12"/>
    <sheet sheetId="10" name="Week_08" state="visible" r:id="rId13"/>
    <sheet sheetId="11" name="Week_09" state="visible" r:id="rId14"/>
    <sheet sheetId="12" name="Week_10" state="visible" r:id="rId15"/>
    <sheet sheetId="13" name="Summary" state="visible" r:id="rId16"/>
  </sheets>
  <calcPr calcId="171027"/>
</workbook>
</file>

<file path=xl/sharedStrings.xml><?xml version="1.0" encoding="utf-8"?>
<sst xmlns="http://schemas.openxmlformats.org/spreadsheetml/2006/main" count="1884" uniqueCount="814">
  <si>
    <t>FER202 — AI Log Template  |  Project Nhóm</t>
  </si>
  <si>
    <t>Hướng dẫn sử dụng  |  FPT University</t>
  </si>
  <si>
    <t>📌  MỤC ĐÍCH</t>
  </si>
  <si>
    <t>File này dùng để gì?</t>
  </si>
  <si>
    <t>Ghi lại nhật ký sử dụng AI của nhóm trong suốt project môn FER202 — theo từng tuần.</t>
  </si>
  <si>
    <t>Ai điền?</t>
  </si>
  <si>
    <t>Mỗi thành viên tự điền phần của mình vào các bảng của tuần tương ứng. Trưởng nhóm tổng hợp và upload.</t>
  </si>
  <si>
    <t>Nộp khi nào?</t>
  </si>
  <si>
    <t>Cuối mỗi tuần (hoặc theo deadline giảng viên). Một file duy nhất cho cả học kỳ.</t>
  </si>
  <si>
    <t>📁  CÁC SHEET TRONG FILE</t>
  </si>
  <si>
    <t>Thông tin nhóm</t>
  </si>
  <si>
    <t>Điền 1 lần đầu học kỳ: tên nhóm, MSSV, phân công, mô tả project.</t>
  </si>
  <si>
    <t>Week_01 → Week_10</t>
  </si>
  <si>
    <t>Mỗi tuần có 4 bảng: AI_Audit_Log, Changelog, Prompts, Reflection.</t>
  </si>
  <si>
    <t>Summary</t>
  </si>
  <si>
    <t>Tổng hợp tự động (công thức) số lần dùng AI, mức hỗ trợ theo từng tuần/thành viên.</t>
  </si>
  <si>
    <t>📝  4 BẢNG TRONG MỖI TUẦN</t>
  </si>
  <si>
    <t>BẢNG 1 — AI_AUDIT_LOG</t>
  </si>
  <si>
    <t>Ghi mỗi lần dùng AI: ngày, ai dùng, tool, mục đích, mức hỗ trợ, đã chỉnh sửa gì, kiểm chứng.</t>
  </si>
  <si>
    <t>BẢNG 2 — CHANGELOG</t>
  </si>
  <si>
    <t>Ghi thay đổi project trong tuần (Added / Changed / Fixed / Removed). Không bắt buộc gắn với AI.</t>
  </si>
  <si>
    <t>BẢNG 3 — PROMPTS</t>
  </si>
  <si>
    <t>Ghi chi tiết từng prompt quan trọng đã dùng: nội dung, kết quả AI trả về, cách nhóm sử dụng/chỉnh sửa.</t>
  </si>
  <si>
    <t>BẢNG 4 — REFLECTION</t>
  </si>
  <si>
    <t>Mỗi thành viên viết 1 block suy ngẫm cá nhân cuối tuần (đã làm gì, AI hỗ trợ ra sao, điểm chưa tốt).</t>
  </si>
  <si>
    <t>✅  QUY ƯỚC</t>
  </si>
  <si>
    <t>Cột TV</t>
  </si>
  <si>
    <t>Dùng ký hiệu A / B / C / D / E (khớp với bảng Thông tin nhóm).</t>
  </si>
  <si>
    <t>Mức hỗ trợ AI</t>
  </si>
  <si>
    <t>Low = AI gợi ý nhỏ  |  Medium = AI đóng góp đáng kể  |  High = AI tạo phần lớn nội dung</t>
  </si>
  <si>
    <t>Loại Changelog</t>
  </si>
  <si>
    <t>Added = thêm mới  |  Changed = cải tiến  |  Fixed = sửa lỗi  |  Removed = xóa bỏ</t>
  </si>
  <si>
    <t>(*) bắt buộc</t>
  </si>
  <si>
    <t>Các cột đánh dấu (*) là bắt buộc phải điền.</t>
  </si>
  <si>
    <t>THÔNG TIN NHÓM — FER202</t>
  </si>
  <si>
    <t>📋  Thông tin lớp</t>
  </si>
  <si>
    <t>Mã lớp học</t>
  </si>
  <si>
    <t>FER202_SE20A07</t>
  </si>
  <si>
    <t>Giảng viên</t>
  </si>
  <si>
    <t>Lê Thị Bích Tra  —  traltb@fe.edu.vn</t>
  </si>
  <si>
    <t>Học kỳ / Năm học</t>
  </si>
  <si>
    <t>SU26</t>
  </si>
  <si>
    <t>Tên nhóm</t>
  </si>
  <si>
    <t>FJMS</t>
  </si>
  <si>
    <t>Số thành viên</t>
  </si>
  <si>
    <t>👥  Danh sách thành viên</t>
  </si>
  <si>
    <t>Ký hiệu (*)</t>
  </si>
  <si>
    <t>Họ và tên (*)</t>
  </si>
  <si>
    <t>MSSV (*)</t>
  </si>
  <si>
    <t>Email (*)</t>
  </si>
  <si>
    <t>Vai trò</t>
  </si>
  <si>
    <t>Ghi chú</t>
  </si>
  <si>
    <t>A</t>
  </si>
  <si>
    <t>Phan Hữu Linh</t>
  </si>
  <si>
    <t>DE191102</t>
  </si>
  <si>
    <t>benphilip11234@gmail.com</t>
  </si>
  <si>
    <t>Trưởng nhóm</t>
  </si>
  <si>
    <t>B</t>
  </si>
  <si>
    <t>Nguyễn Đăng Khang Huy</t>
  </si>
  <si>
    <t>DE190258</t>
  </si>
  <si>
    <t>vietnamnhungchuyendi@gmail.com</t>
  </si>
  <si>
    <t>Thành viên</t>
  </si>
  <si>
    <t>C</t>
  </si>
  <si>
    <t>Kiều Thị Kim Thoa</t>
  </si>
  <si>
    <t>DE190363</t>
  </si>
  <si>
    <t>Thoakieu309@gmail.com</t>
  </si>
  <si>
    <t>D</t>
  </si>
  <si>
    <t>E</t>
  </si>
  <si>
    <t>💡  Mô tả dự án</t>
  </si>
  <si>
    <t>Tên hệ thống</t>
  </si>
  <si>
    <t>Freelancer Job Matching System (FJMS)</t>
  </si>
  <si>
    <t>Mô tả ngắn</t>
  </si>
  <si>
    <t>FJMS là nền tảng kết nối giữa Freelancer và Employer, cho phép đăng dự án, tìm kiếm ứng viên phù hợp, gửi đề xuất (Proposal), quản lý hợp đồng, thanh toán ký quỹ (Escrow), nhắn tin thời gian thực và đánh giá sau khi hoàn thành dự án. Hệ thống tích hợp AI Chatbot hỗ trợ người dùng và sử dụng VNPay để xử lý thanh toán trực tuyến an toàn.</t>
  </si>
  <si>
    <t>Công nghệ sử dụng</t>
  </si>
  <si>
    <t xml:space="preserve">Frontend: ReactJS, TailwindCSS, Axios, React Router DOM
Backend: NodeJS, ExpressJS, JWT Authentication, Socket.io
Database: Microsoft SQL Server
External Services: VNPay API, Email Service (OTP Verification)</t>
  </si>
  <si>
    <t>Link repo (GitHub/GitLab)</t>
  </si>
  <si>
    <t>https://github.com/SUMMER2026SE/swp391-rbl-project-team_7-1.git</t>
  </si>
  <si>
    <t>Link Jira</t>
  </si>
  <si>
    <t>Link demo</t>
  </si>
  <si>
    <t>WEEK 01 — Nhật ký AI &amp; Project</t>
  </si>
  <si>
    <t>Mỗi thành viên dùng ký hiệu A/B/C/D/E ở cột TV.  Cột (*) bắt buộc điền.  Lưu file sau khi điền xong.</t>
  </si>
  <si>
    <t>📋  BẢNG 1: Nhật ký sử dụng AI  (AI_AUDIT_LOG)</t>
  </si>
  <si>
    <t>Ghi mỗi lần dùng AI vào 1 dòng.  Mức hỗ trợ: Low = AI gợi ý nhỏ  |  Medium = AI đóng góp nhiều  |  High = AI tạo phần lớn</t>
  </si>
  <si>
    <t>Ngày (*)</t>
  </si>
  <si>
    <t>TV (*)</t>
  </si>
  <si>
    <t>Công cụ AI (*)</t>
  </si>
  <si>
    <t>Mục đích sử dụng (*)</t>
  </si>
  <si>
    <t>File ảnh hưởng</t>
  </si>
  <si>
    <t>Mức hỗ trợ (*)</t>
  </si>
  <si>
    <t>Đã chỉnh sửa gì?</t>
  </si>
  <si>
    <t>Kiểm chứng</t>
  </si>
  <si>
    <t>2026-06-23</t>
  </si>
  <si>
    <t>Gemini</t>
  </si>
  <si>
    <t>Khởi tạo Vite project, cấu hình thư mục dự án và cài đặt bootstrap, router, axios</t>
  </si>
  <si>
    <t>package.json, src/</t>
  </si>
  <si>
    <t>High</t>
  </si>
  <si>
    <t>Tạo dự án React 19 + Vite, thiết lập 5 folder src/components, pages...</t>
  </si>
  <si>
    <t>https://github.com/fudn-traltb-su26/rbl-fer202-theotuan-team-fjms/commit/cc82121</t>
  </si>
  <si>
    <t>Vẽ sơ đồ Component Tree cho dự án FJMS</t>
  </si>
  <si>
    <t>Week01/docs/component-tree.png</t>
  </si>
  <si>
    <t>Medium</t>
  </si>
  <si>
    <t>Thiết lập sơ đồ phân cấp cho các component App, Header, Banner, CategoryList, ProjectGrid, ProjectCard</t>
  </si>
  <si>
    <t>File component-tree.png</t>
  </si>
  <si>
    <t>gemini</t>
  </si>
  <si>
    <t>Viết README.md tài liệu hướng dẫn setup dự án</t>
  </si>
  <si>
    <t>Week01/fjms-frontend/README.md</t>
  </si>
  <si>
    <t>Tạo tài liệu đặc tả các folder và các bước chạy npm install/run dev</t>
  </si>
  <si>
    <t>File README.md</t>
  </si>
  <si>
    <t>Lên ý tưởng và vẽ phác thảo giao diện Trang chủ (Hero section).</t>
  </si>
  <si>
    <t>docs/mockup/Home_Page.png</t>
  </si>
  <si>
    <t>Tạo thành công bản nháp UI, export sang Figma để chỉnh sửa lại padding nút bấm và font chữ.</t>
  </si>
  <si>
    <t>File prompts.md</t>
  </si>
  <si>
    <t>Thống nhất và đặc tả Style Guide chung của nhóm (màu Emerald Green #059669, font Inter, tone hiện đại).</t>
  </si>
  <si>
    <t>Week01/docs/mockup/style-guide.md</t>
  </si>
  <si>
    <t>Tạo tài liệu đặc tả phong cách thiết kế, định nghĩa màu sắc và hướng giao diện cho hai màn hình Chi tiết dự án và Dự án đã lưu.</t>
  </si>
  <si>
    <t>File style-guide.md</t>
  </si>
  <si>
    <t>Soạn thảo các prompt mô tả chi tiết giao diện màn hình Chi tiết dự án và Dự án đã lưu.</t>
  </si>
  <si>
    <t>Week01/docs/mockup/prompts.md</t>
  </si>
  <si>
    <t>Tạo file nhật ký lưu trữ các câu lệnh prompts (tiếng Anh) dùng cho các công cụ AI Design.</t>
  </si>
  <si>
    <t>Tạo hình ảnh mockup thiết kế trực quan có độ phân giải cao cho 2 màn hình Chi tiết dự án và Dự án đã lưu.</t>
  </si>
  <si>
    <t>Week01/docs/mockup/</t>
  </si>
  <si>
    <t>Tạo 2 ảnh PNG mô tả giao diện chi tiết dự án (bố cục 2 cột) và giao diện quản lý danh sách dự án đã lưu của freelancer.</t>
  </si>
  <si>
    <t>File project_details.png, saved_projects.png</t>
  </si>
  <si>
    <t>Xây dựng tài liệu bàn giao mockup sang code (Handoff Document) ánh xạ phân vùng sang React component.</t>
  </si>
  <si>
    <t>Week01/docs/mockup/handoff.md</t>
  </si>
  <si>
    <t>Xác định các component tương ứng sẽ lập trình (ProjectDetailPage, SkillBadge, SavedProjectsTable) và phân chia tuần thực hiện.</t>
  </si>
  <si>
    <t>File handoff.md</t>
  </si>
  <si>
    <t>📝  BẢNG 2: Nhật ký thay đổi project  (CHANGELOG)</t>
  </si>
  <si>
    <t>Loại (*)</t>
  </si>
  <si>
    <t>Mô tả thay đổi (*)</t>
  </si>
  <si>
    <t>File liên quan</t>
  </si>
  <si>
    <t>Added — Thêm mới</t>
  </si>
  <si>
    <t>Khởi tạo repo git và setup ban đầu dự án ReactJS + Vite</t>
  </si>
  <si>
    <t>Khởi tạo thành công</t>
  </si>
  <si>
    <t>Tích hợp file db.json chứa 8 dự án tuyển dụng và 5 danh mục ngành nghề của FJMS</t>
  </si>
  <si>
    <t>db.json</t>
  </si>
  <si>
    <t>Phục vụ cho việc chạy thử json-server</t>
  </si>
  <si>
    <t>Thêm tài liệu hướng dẫn thiết kế (Style Guide) định nghĩa màu sắc, font chữ và quy chuẩn chung cho dự án FJMS.</t>
  </si>
  <si>
    <t>Thống nhất sử dụng tông màu Emerald Green (#059669) và font Inter.</t>
  </si>
  <si>
    <t>Changed — Cải tiến</t>
  </si>
  <si>
    <t>Đồng bộ hóa các đường dẫn và cập nhật file TODO.md theo cấu trúc 3 thành viên</t>
  </si>
  <si>
    <t>TODO.md</t>
  </si>
  <si>
    <t>Đồng bộ hoàn tất các tuần</t>
  </si>
  <si>
    <t>Thiết kế bản vẽ Mockup cho giao diện Trang chủ và Trang danh sách dự án; Lập bảng màu Style Guide.</t>
  </si>
  <si>
    <t>docs/mockup/Home_Page.png, docs/mockup/Project_List.png, docs/mockup/style-guide.md</t>
  </si>
  <si>
    <t>Đã chốt mã màu chủ đạo là Emerald Green (#059669).</t>
  </si>
  <si>
    <t>Cập nhật checklist tiến độ và bảng theo dõi tiến độ tuần 1.</t>
  </si>
  <si>
    <t>Đánh dấu hoàn thành các nhiệm vụ thiết kế giao diện của Thành viên C.</t>
  </si>
  <si>
    <t>Fixed — Sửa lỗi</t>
  </si>
  <si>
    <t>Removed — Xóa bỏ</t>
  </si>
  <si>
    <t>💡  BẢNG 3: Nhật ký Prompt AI  (PROMPTS)</t>
  </si>
  <si>
    <t>Mỗi prompt quan trọng ghi 1 block gồm 4 dòng. Ghi rõ prompt đã dùng, kết quả, cách nhóm sử dụng, và kiểm chứng.</t>
  </si>
  <si>
    <t>Prompt #</t>
  </si>
  <si>
    <t>TV</t>
  </si>
  <si>
    <t>Công cụ AI</t>
  </si>
  <si>
    <t>Prompt đã dùng (nguyên văn) (*)</t>
  </si>
  <si>
    <t>Prompt #1  (A — Gemini4.0)</t>
  </si>
  <si>
    <t>Nhờ AI hướng dẫn cách cài đặt và cấu trúc một dự án ReactJS dùng Vite cho môn FER202, có cài thêm Bootstrap, Axios và Router DOM. Chỉ cách chia folder sao cho sạch và dễ quản lý nhóm.</t>
  </si>
  <si>
    <t>Kết quả AI trả về và vấn đề gặp phải:</t>
  </si>
  <si>
    <t>AI nó chỉ các câu lệnh npm cài đặt rất nhanh, và đưa ra cấu trúc thư mục chuẩn. Tuy nhiên, nó bị lỗi thời khi vẫn khuyên dùng Create React App (CRA) dù cái này đã bị deprecated từ lâu. Ngoài ra, nó gợi ý nhét cả Redux và Context cùng lúc ngay từ tuần đầu làm code rất rối và thừa thãi.</t>
  </si>
  <si>
    <t>Nhóm đã chỉnh sửa / sử dụng như thế nào:</t>
  </si>
  <si>
    <t>Nhóm quyết định bỏ qua gợi ý CRA, dùng Vite chạy cho nhẹ. Thư mục src chia thành các folder con: components, pages, hooks, services, context. Chưa tạo folder store/redux vì tuần 1 chưa cần quản lý state phức tạp đến thế.</t>
  </si>
  <si>
    <t>Kiểm chứng (test pass/fail, kết quả đúng không):</t>
  </si>
  <si>
    <t>Chạy thử npm run dev thấy lên trang mặc định của Vite, vào tab Console kiểm tra không thấy báo lỗi đỏ nào.</t>
  </si>
  <si>
    <t>Prompt #2 (B--ChatGPT)</t>
  </si>
  <si>
    <t>Generate a UI mockup for a project card showing job details. Include project title, category, budget, duration, and a 'Submit Proposal' button. Style should use rounded corners (12px), drop shadows, and lots of whitespace.</t>
  </si>
  <si>
    <t>AI tạo thẻ Card tốt nhưng lại chèn quá nhiều đoạn text Lorem Ipsum dài thòng làm thẻ bị vỡ tỷ lệ, thiếu các icon minh họa cho ngân sách.</t>
  </si>
  <si>
    <t>Xóa bớt chữ thừa, thêm thủ công các icon (tiền tệ, đồng hồ) vào bên cạnh các thông số để giao diện trực quan và chuyên nghiệp hơn.</t>
  </si>
  <si>
    <t>Các thẻ dự án được sắp xếp rất gọn gàng trong file Project_List.png.</t>
  </si>
  <si>
    <t>Prompt #3(C-Gemini)</t>
  </si>
  <si>
    <t>Design a high-fidelity web page for "Project Details" of a Freelancer Job Matching System (FJMS). Layout should be split into 2 columns on desktop: Left column (2/3 width) contains: Project Title ("SaaS Dashboard UI/UX Design"), Breadcrumb navigation, Posted date, Category badge ("UI/UX Design"), Detailed Job Description, and Required Skills tags ("Figma", "UI/UX"). Right column (1/3 width) contains sticky info card: Budget "8,000,000 VND" in large bold emerald green, Project Duration, Client Info, primary button "Submit Proposal" in emerald green (#059669), and outline button "Save Project". Modern clean style, Inter font, white boxes on light gray background.</t>
  </si>
  <si>
    <t>AI tạo ra hình ảnh thiết kế bố cục 2 cột rất rõ ràng và đẹp mắt, các khối thông tin phân cấp hợp lý. Vấn đề: Một số text hiển thị tiếng Anh bị lỗi font hoặc tạo ra văn bản vô nghĩa (lorem ipsum).</t>
  </si>
  <si>
    <t>Nhóm giữ nguyên cấu trúc bố cục thiết kế này, tiến hành xuất ảnh PNG lưu tại docs/mockup/project_details.png và dùng làm bản vẽ chuẩn để phân tách component cho Tuần 6.</t>
  </si>
  <si>
    <t>File project_details.png hiển thị đúng nghiệp vụ, đạt tiêu chuẩn trực quan của style guide nhóm.</t>
  </si>
  <si>
    <t>Prompt #4</t>
  </si>
  <si>
    <t>🪞  BẢNG 4: Suy ngẫm cuối tuần  (REFLECTION)</t>
  </si>
  <si>
    <t>Mỗi thành viên điền 1 block riêng. Mục 'AI sai/thiếu' bắt buộc ≥ 2 ví dụ cụ thể. Viết thành câu đầy đủ.</t>
  </si>
  <si>
    <t>Thành viên A — Trưởng nhóm</t>
  </si>
  <si>
    <t>Đã làm gì trong tuần này? (*)</t>
  </si>
  <si>
    <t>Setup dự án Vite, chia folder src, cài bootstrap, router, axios. Viết README.md và vẽ sơ đồ component tree đơn giản.</t>
  </si>
  <si>
    <t>AI đã hỗ trợ như thế nào?</t>
  </si>
  <si>
    <t>Hỏi AI để tham khảo cách chia thư mục và cấu trúc file. Tiết kiệm được thời gian gõ code cấu trúc thô ban đầu.</t>
  </si>
  <si>
    <t>AI sai hoặc thiếu ở đâu? (*)</t>
  </si>
  <si>
    <t>(1) AI vẫn chỉ dùng CRA lỗi thời để tạo dự án. (2) Gợi ý thêm Redux quá sớm làm phức tạp hóa code trong khi tuần 1 chỉ cần khung sườn tĩnh.</t>
  </si>
  <si>
    <t>Khó khăn gặp phải</t>
  </si>
  <si>
    <t>Lúc đầu cài bootstrap bị xung đột version với react-bootstrap mới, phải gỡ ra cài lại bản tương thích.</t>
  </si>
  <si>
    <t>Nếu làm lại, sẽ cải thiện điều gì?</t>
  </si>
  <si>
    <t>Lần sau hỏi AI sẽ chỉ rõ phiên bản React và Bootstrap muốn dùng để tránh nó code bậy bản cũ.</t>
  </si>
  <si>
    <t>Thành viên B — Thành viên</t>
  </si>
  <si>
    <t>Lên ý tưởng (Ideation) và phác thảo thành công Mockup giao diện cho Trang chủ, đồng thời xây dựng quy chuẩn Style Guide cho nhóm.</t>
  </si>
  <si>
    <t>AI đóng vai trò như một người vẽ nháp, giúp sinh ra hàng loạt ý tưởng layout trong vài giây thay vì phải cặm cụi kéo thả từng ô vuông trong Figma.</t>
  </si>
  <si>
    <t>(1) AI thường xuyên sử dụng text vô nghĩa (Lorem Ipsum) thay vì dữ liệu thật. (2) AI không duy trì được sự nhất quán (consistency) giữa các lần sinh ảnh (màu xanh lúc đậm lúc nhạt).</t>
  </si>
  <si>
    <t>Kỹ năng viết prompt (Prompt Engineering) để mô tả UI chi tiết bằng tiếng Anh khá mất thời gian; nếu mô tả sơ sài AI sẽ vẽ rất chung chung.</t>
  </si>
  <si>
    <t>Nên thiết lập sẵn bộ nguyên tắc (Design System guidelines) đưa cho AI học ngay từ câu lệnh đầu tiên để đảm bảo AI sinh màu sắc đúng chuẩn 100%.</t>
  </si>
  <si>
    <t>Thành viên C — Thành viên</t>
  </si>
  <si>
    <t>Thiết kế mockup 2 màn hình Chi tiết dự án và Dự án đã lưu bằng AI Design Tool. Soạn thảo tài liệu Style Guide chung, nhật ký Prompts và tài liệu bàn giao Handoff Document cho nhóm.</t>
  </si>
  <si>
    <t>Hỗ trợ lên ý tưởng bố cục giao diện cực kỳ nhanh chóng dựa trên mô tả văn bản. Tự động đề xuất các phối màu Emerald Green hài hòa và tạo bản vẽ mockup chất lượng cao không cần vẽ tay từ đầu.</t>
  </si>
  <si>
    <t>(1) AI tạo chữ (text) trên ảnh mockup bị lỗi font chữ tiếng Việt và tạo ra các ký tự vô nghĩa (gibberish text) thay vì văn bản thực tế. (2) Khi mô tả nút bấm dạng icon (như thùng rác màu đỏ), AI tự phối màu nền quá sặc sỡ và không đồng nhất kích thước với nút Apply bên cạnh.</t>
  </si>
  <si>
    <t>Việc viết prompt bằng tiếng Anh mô tả chi tiết vị trí các component nhỏ trong bảng khá tốn thời gian, đôi khi AI hiểu sai vị trí cột trái/phải và phải generate lại nhiều lần.</t>
  </si>
  <si>
    <t>Sẽ sử dụng các công cụ vẽ wireframe thô (lo-fi) trước để định hình cấu trúc, sau đó mới dùng AI để tạo giao diện chi tiết (hi-fi) để tránh việc AI sắp xếp bố cục tùy tiện.</t>
  </si>
  <si>
    <t>Thành viên D — Thành viên</t>
  </si>
  <si>
    <t>💬 Liệt kê cụ thể: tính năng, test case, module, file...</t>
  </si>
  <si>
    <t>💬 Tóm tắt cách dùng AI: tool nào, việc gì, hiệu quả ra sao</t>
  </si>
  <si>
    <t>💬 ⚠️ Bắt buộc ≥ 2 ví dụ cụ thể về điểm AI chưa đúng/đủ</t>
  </si>
  <si>
    <t>💬 Kỹ thuật, nhóm, công cụ, môi trường...</t>
  </si>
  <si>
    <t>💬 Quy trình, cách dùng AI, phân công nhóm...</t>
  </si>
  <si>
    <t>Thành viên E — Thành viên</t>
  </si>
  <si>
    <t>FER202  |  Week 01  |  FPT University — Điền xong nhớ Ctrl+S để lưu!</t>
  </si>
  <si>
    <t>2026-06-24</t>
  </si>
  <si>
    <t>Tạo giao diện Header.jsx tĩnh cho sàn FJMS</t>
  </si>
  <si>
    <t>src/components/Header.jsx</t>
  </si>
  <si>
    <t>Tạo thanh Navbar với Logo, các link Trang chủ, Tìm việc, Dự án đã lưu, Dashboard và icon giỏ hàng</t>
  </si>
  <si>
    <t>File Header.jsx</t>
  </si>
  <si>
    <t>Tạo giao diện Footer.jsx có năm hiện tại động</t>
  </si>
  <si>
    <t>src/components/Footer.jsx</t>
  </si>
  <si>
    <t>Low</t>
  </si>
  <si>
    <t>Code chân trang với năm bản quyền tự động cập nhật qua new Date().getFullYear()</t>
  </si>
  <si>
    <t>File Footer.jsx</t>
  </si>
  <si>
    <t>ChatGPT</t>
  </si>
  <si>
    <t>Dựng Component Banner.jsx hiển thị Banner giới thiệu trang chủ.</t>
  </si>
  <si>
    <t>Banner.jsx</t>
  </si>
  <si>
    <t>AI đã sinh ra được mã nguồn React hợp lệ đúng cấu trúc JSX.</t>
  </si>
  <si>
    <t>https://stitch.withgoogle.com/projects/12993772099176633908?pli=1</t>
  </si>
  <si>
    <t>Dựng Component tĩnh ProjectCard.jsx.</t>
  </si>
  <si>
    <t>ProjectCard.jsx</t>
  </si>
  <si>
    <t>AI cung cấp cấu trúc thẻ Card khá đẹp và chia layout thành các thẻ div rõ ràng.</t>
  </si>
  <si>
    <t>Lập trình component CategoryList.jsx hiển thị danh mục ngành nghề, có xử lý điều kiện mảng rỗng.</t>
  </si>
  <si>
    <t>fjms-frontend/src/components/CategoryList.jsx</t>
  </si>
  <si>
    <t>Tạo danh sách danh mục với các thẻ có style inline, dùng toán tử 3 ngôi kiểm tra và render dòng chữ báo lỗi khi categories trống.</t>
  </si>
  <si>
    <t>File CategoryList.jsx</t>
  </si>
  <si>
    <t>Lập trình component ProjectGrid.jsx chứa mảng dự án tĩnh mẫu và dùng map kết xuất.</t>
  </si>
  <si>
    <t>fjms-frontend/src/components/ProjectGrid.jsx</t>
  </si>
  <si>
    <t>Khai báo danh sách tĩnh gồm 4 dự án chuẩn và sử dụng hàm .map() để lặp qua danh sách, kết xuất các component ProjectCard con.</t>
  </si>
  <si>
    <t>File ProjectGrid.jsx</t>
  </si>
  <si>
    <t>Tạo mới components Header.jsx và Footer.jsx tĩnh cho dự án</t>
  </si>
  <si>
    <t>src/components/Header.jsx, src/components/Footer.jsx</t>
  </si>
  <si>
    <t>Header có navbar và footer có năm tự động</t>
  </si>
  <si>
    <t>Thêm CSS cơ bản trong index.css để reset margin/padding và set màu chủ đạo Emerald green cho FJMS</t>
  </si>
  <si>
    <t>src/index.css</t>
  </si>
  <si>
    <t>Style màu thương hiệu</t>
  </si>
  <si>
    <t>Tạo mới component CategoryList.jsx hiển thị 5 lĩnh vực việc làm của freelancer.</t>
  </si>
  <si>
    <t>Đã hoàn thành phần logic kiểm tra danh sách rỗng bằng toán tử 3 ngôi.</t>
  </si>
  <si>
    <t>Tạo mới component tĩnh Banner.jsx (Hero section) và ProjectCard.jsx (Thẻ dự án).</t>
  </si>
  <si>
    <t>src/components/Banner.jsx, src/components/ProjectCard.jsx</t>
  </si>
  <si>
    <t>Đã áp dụng inline CSS theo đúng màu sắc của Style Guide.</t>
  </si>
  <si>
    <t xml:space="preserve">Chỉnh sửa App.jsx để thực hiện tích hợp 5 component tĩnh của nhóm.	</t>
  </si>
  <si>
    <t>fjms-frontend/src/App.jsx</t>
  </si>
  <si>
    <t>Đảm bảo trang web chạy ổn định trên cổng 5173 và không phát sinh lỗi console.</t>
  </si>
  <si>
    <t>Prompt #1  (A — Gemini)</t>
  </si>
  <si>
    <t>Viết giùm code component Header.jsx bằng React 19 hiển thị thanh Navbar. Có logo FJMS Marketplace ở bên trái, giữa là các link trang chủ, tìm việc, dự án đã lưu, dashboard. Bên phải có icon giỏ hàng.</t>
  </si>
  <si>
    <t>AI sinh ra code HTML và CSS inline khá dài dòng. Giao diện nhìn tạm ổn nhưng nó xài thẻ &lt;a&gt; cho các link điều hướng làm trang bị load lại mỗi khi click, mất tính chất Single Page App.</t>
  </si>
  <si>
    <t>Nhóm thay toàn bộ thẻ &lt;a&gt; thành component &lt;Link&gt; và &lt;NavLink&gt; từ thư viện react-router-dom để chuyển trang không bị load lại. Đồng thời dọn bớt đống style inline nhét vào file CSS riêng.</t>
  </si>
  <si>
    <t>Click thử giữa các tab trên Header thấy chuyển trang mượt, không bị xoay vòng tròn load lại trang.</t>
  </si>
  <si>
    <t>Prompt #2 ( B- ChatGPT)</t>
  </si>
  <si>
    <t>Viết cho tôi component Banner.jsx bằng React. Component này đóng vai trò Hero Section, bao gồm thẻ h1 'Tìm Kiếm Freelancer Phù Hợp', đoạn mô tả và 2 nút bấm. Yêu cầu dùng inline CSS, không dùng thư viện ngoài.</t>
  </si>
  <si>
    <t>AI sinh ra code đúng chuẩn JSX nhưng các nút bấm có kích thước chưa cân đối và màu sắc bị sai mã Hex (xanh lá chóe) so với thiết kế Figma.</t>
  </si>
  <si>
    <t>Giữ nguyên khung HTML/JSX của AI, sau đó chỉnh sửa lại toàn bộ mã màu Hex trong thẻ style={{...}} cho khớp với Style Guide.</t>
  </si>
  <si>
    <t>Chạy npm run dev, component hiển thị tốt trên trình duyệt, màu sắc chuẩn.</t>
  </si>
  <si>
    <t>Write a React 19 functional component named 'CategoryList' that displays a grid of freelance job categories (like Web Development, Mobile Development, UI/UX Design). The component should accept a 'categories' array prop. If the array is empty or undefined, use conditional rendering (ternary operator) to display a fallback message 'No categories available'. Use basic inline CSS styles to lay out the categories in a flex row.</t>
  </si>
  <si>
    <t>AI cung cấp component đúng cú pháp và cấu trúc logic. Vấn đề: Cấu trúc CSS inline sử dụng flexbox của AI bị thiếu tính năng wrap khiến giao diện bị tràn lề khi thu nhỏ trình duyệt.</t>
  </si>
  <si>
    <t>Nhóm giữ nguyên logic, thực hiện bổ sung flexWrap: 'wrap' và gap: '1rem' vào inline CSS ở container chính để giao diện responsive tốt hơn.</t>
  </si>
  <si>
    <t>Test Pass. Giao diện hiển thị 5 cột đẹp mắt, khi giả lập truyền categories rỗng thì hiển thị đúng văn bản thông báo lỗi.</t>
  </si>
  <si>
    <t xml:space="preserve"> </t>
  </si>
  <si>
    <t>Code xong Header.jsx và Footer.jsx tĩnh cho dự án FJMS.</t>
  </si>
  <si>
    <t>AI gen khung HTML và css mẫu cho Header/Footer nhanh, đỡ phải tự gõ từng thẻ.</t>
  </si>
  <si>
    <t>(1) AI sử dụng các thẻ &lt;a&gt; thay vì Link làm app bị reload. (2) AI viết style dạng inline quá dài dòng trong JSX làm file code dài hơn 200 dòng, rất khó bảo trì.</t>
  </si>
  <si>
    <t>Header bị lệch align giữa logo và menu, phải tự căn chỉnh lại flexbox.</t>
  </si>
  <si>
    <t>Nên yêu cầu AI chia nhỏ CSS ra hoặc dùng Tailwind/Bootstrap ngay từ đầu cho sạch.</t>
  </si>
  <si>
    <t>Lập trình thành công 2 giao diện tĩnh là Banner.jsx và ProjectCard.jsx bằng cú pháp JSX và inline CSS.</t>
  </si>
  <si>
    <t>AI giúp tạo nhanh bộ khung thẻ HTML lồng nhau và các style cơ bản (flexbox, padding), tiết kiệm được 50% thời gian phải gõ chay.</t>
  </si>
  <si>
    <t>(1) AI thường xuyên sử dụng sai mã màu (không đúng theo nhận diện thương hiệu). (2) AI hay tự ý thêm các thẻ thẻ &lt;a&gt; hoặc placeholder ảnh gây lỗi hiển thị.</t>
  </si>
  <si>
    <t>Việc viết CSS dạng inline (trong file .jsx) rất dài dòng, khiến file code bị "phình" to, rất khó dò lỗi khi thiếu một dấu phẩy , hoặc ngoặc nhọn }.</t>
  </si>
  <si>
    <t>Sẽ chia nhỏ các style object ra ngoài component thay vì nhét thẳng vào thẻ HTML để code dễ đọc hơn.</t>
  </si>
  <si>
    <t>Xây dựng 2 component CategoryList và ProjectGrid. Tích hợp tất cả các component tĩnh của nhóm vào App.jsx và viết tài liệu lý thuyết giải thích cơ chế JSX.</t>
  </si>
  <si>
    <t>Hỗ trợ giải thích sâu sắc sự khác biệt trong cơ chế biên dịch JSX của React 19 so với các phiên bản cũ và cung cấp code khung HTML/CSS inline rất nhanh.</t>
  </si>
  <si>
    <t>(1) AI gợi ý import React từ 'react' ở đầu file mặc dù dự án dùng React 19 và không còn bắt buộc việc này nữa. (2) Trong component ProjectCard mẫu, AI viết thuộc tính 'class' thay vì 'className' làm trình duyệt báo lỗi warning đỏ trong Console.</t>
  </si>
  <si>
    <t>Khó khăn trong việc căn chỉnh các thuộc tính CSS nâng cao (như hover hoặc active hiệu ứng nút bấm) do viết bằng inline CSS không hỗ trợ pseudo-classes trực tiếp.</t>
  </si>
  <si>
    <t>Sẽ sử dụng thư viện icon chuẩn (như lucide-react) thay vì gán các ký tự emoji thô để tăng tính thẩm mỹ của trang web.</t>
  </si>
  <si>
    <t>FER202  |  Week 02  |  FPT University — Điền xong nhớ Ctrl+S để lưu!</t>
  </si>
  <si>
    <t>2026-06-25</t>
  </si>
  <si>
    <t>Refactor ProjectCard.jsx để nhận dữ liệu qua props</t>
  </si>
  <si>
    <t>src/components/ProjectCard.jsx</t>
  </si>
  <si>
    <t>Thay đổi dữ liệu hardcode thành các thuộc tính động từ project object (title, budget, category)</t>
  </si>
  <si>
    <t>File ProjectCard.jsx</t>
  </si>
  <si>
    <t>Xử lý sự kiện onSaveProject qua props của ProjectCard</t>
  </si>
  <si>
    <t>Liên kết nút lưu dự án gọi đến callback handler từ component cha</t>
  </si>
  <si>
    <t>Chuyển đổi component ProjectGrid tĩnh sang nhận mảng dữ liệu thông qua Props.</t>
  </si>
  <si>
    <t>src/components/ProjectGrid.jsx</t>
  </si>
  <si>
    <t>AI hướng dẫn cách dùng destructuring props và truyền object xuống component con.</t>
  </si>
  <si>
    <t>ProjectGrid.jsx</t>
  </si>
  <si>
    <t>Cải tiến CategoryList để nhận mảng categories từ component cha và map ra giao diện.</t>
  </si>
  <si>
    <t>src/components/CategoryList.jsx</t>
  </si>
  <si>
    <t>Tối ưu code lặp thừa, thêm tham số key vào hàm map() theo đúng chuẩn React.</t>
  </si>
  <si>
    <t>CategoryList.jsx</t>
  </si>
  <si>
    <t>Lập trình component bọc layout SectionWrapper.jsx nhận các thuộc tính title, subtitle và children.</t>
  </si>
  <si>
    <t>fjms-frontend/src/components/SectionWrapper.jsx</t>
  </si>
  <si>
    <t>Viết cấu trúc wrapper chung, gán thuộc tính props.children làm nội dung hiển thị động và thêm style đồng nhất.</t>
  </si>
  <si>
    <t>File SectionWrapper.jsx</t>
  </si>
  <si>
    <t>Cải tiến App.jsx thành nơi lưu trữ dữ liệu tập trung và gán sự kiện callback nhận data từ con.</t>
  </si>
  <si>
    <t>Di chuyển dữ liệu lên App, định nghĩa hàm click lưu dự án, bọc 3 phần chính bằng SectionWrapper và truyền props xuống dưới.</t>
  </si>
  <si>
    <t>File App.jsx</t>
  </si>
  <si>
    <t>Tạo mới component layout dùng chung SectionWrapper.jsx sử dụng thuộc tính props.children.</t>
  </si>
  <si>
    <t>Giúp chuẩn hóa tiêu đề và khoảng cách của các section trên trang chủ.</t>
  </si>
  <si>
    <t>Tạo mới sơ đồ kỹ thuật kiến trúc luồng dữ liệu (Data Flow Diagram).</t>
  </si>
  <si>
    <t>Week03/docs/week03-dataflow.png</t>
  </si>
  <si>
    <t>Minh chứng cụ thể về việc hiểu one-way data flow trong React.</t>
  </si>
  <si>
    <t>Refactor ProjectCard.jsx chuyển đổi từ dữ liệu hardcode sang props động</t>
  </si>
  <si>
    <t>Nhận project object và callback onSaveProject</t>
  </si>
  <si>
    <t>Cấu trúc lại file App.jsx để đóng vai trò làm trung tâm dữ liệu (Single Source of Truth) và gán hàm callback sự kiện.</t>
  </si>
  <si>
    <t>Đã liên kết thành công nút click từ ProjectCard qua props ngược về App.jsx để alert thông báo.</t>
  </si>
  <si>
    <t>Refactor ProjectGrid.jsx và CategoryList.jsx để hiển thị dữ liệu động dựa trên props truyền từ App xuống thay vì gõ cứng.</t>
  </si>
  <si>
    <t>src/components/ProjectGrid.jsx, src/components/CategoryList.jsx</t>
  </si>
  <si>
    <t>Cập nhật luồng dữ liệu One-way data flow, giải quyết lỗi warning thiếu thuộc tính key.</t>
  </si>
  <si>
    <t>Prompt #1  (A — Antigravity)</t>
  </si>
  <si>
    <t>Refactor component ProjectCard.jsx để nó nhận object project qua props chứ không hardcode nữa. Nút Lưu dự án thì gọi hàm onSaveProject từ component cha truyền xuống. Budget thì format dạng VND.</t>
  </si>
  <si>
    <t>AI viết hàm format tiền VND khá chuẩn bằng Intl.NumberFormat. Nhưng nó quên check điều kiện null của project object. Khi data chưa truyền xuống kịp thì app bị crash màn hình trắng xoá vì lỗi Cannot read properties of undefined.</t>
  </si>
  <si>
    <t>Nhóm sửa lại bằng cách thêm toán tử optional chaining (project?.title, project?.budget) và set một project mặc định nếu props truyền vào bị rỗng.</t>
  </si>
  <si>
    <t>Truyền thử project rỗng vào Card thấy không bị crash app nữa, hiển thị đúng budget định dạng VND.</t>
  </si>
  <si>
    <t>Prompt #2( B- ChatGPT)</t>
  </si>
  <si>
    <t>Refactor file ProjectGrid.jsx hiện tại của tôi. Thay vì dùng mảng PROJECTS_DATA hardcode bên trong, hãy cấu hình để nó nhận một tham số props là projects từ component cha truyền xuống. Cập nhật lại hàm map để sử dụng props này.</t>
  </si>
  <si>
    <t>AI sửa code rất nhanh, tuy nhiên quên không kiểm tra mảng rỗng khiến app bị lỗi (crash) nếu mảng projects chưa kịp truyền tới.</t>
  </si>
  <si>
    <t>Tự thêm thủ công toán tử điều kiện projects &amp;&amp; projects.length &gt; 0 trước khi thực hiện hàm .map().</t>
  </si>
  <si>
    <t>Dữ liệu truyền từ App xuống Grid hiển thị thành công, có thể kiểm tra qua React DevTools.</t>
  </si>
  <si>
    <t>Prompt #3(C_Gemini)</t>
  </si>
  <si>
    <t>Write a React 19 component named 'SectionWrapper' that accepts three props: 'title', 'subtitle', and 'children'. The component should render the 'title' and 'subtitle' inside a header block, and render the 'children' inside a content block. Use inline styles to give it a clean border-bottom, a max-width of 1200px, and center alignment on the screen. The padding should be 3rem 2rem.</t>
  </si>
  <si>
    <t>AI viết code đúng cấu trúc render children. Vấn đề: AI không kiểm tra điều kiện dữ liệu của tiêu đề, dẫn đến việc nếu component cha không truyền prop subtitle, nó vẫn render thẻ &lt;p&gt;&lt;/p&gt; rỗng làm xấu giao diện.</t>
  </si>
  <si>
    <t>Sửa code phần hiển thị tiêu đề thành {title &amp;&amp; &lt;h2&gt;...&lt;/h2&gt;} và {subtitle &amp;&amp; &lt;p&gt;...&lt;/p&gt;} để thẻ HTML chỉ hiển thị khi có dữ liệu.</t>
  </si>
  <si>
    <t>Test Pass. Tái sử dụng bọc được 3 phần khác nhau trên trang chủ hoạt động hoàn toàn chính xác.</t>
  </si>
  <si>
    <t>Refactor ProjectCard để truyền nhận props động, định dạng tiền tệ và nhận callback từ component cha.</t>
  </si>
  <si>
    <t>AI hướng dẫn cách viết hàm format VND và destructing props nhanh gọn.</t>
  </si>
  <si>
    <t>(1) AI không sử dụng optional chaining khi truy xuất các thuộc tính của project object dẫn đến lỗi crash. (2) AI gợi ý sai cú pháp hàm callback khi quên không bọc vào arrow function làm nó tự chạy liên tục khi render.</t>
  </si>
  <si>
    <t>Lỗi render vòng lặp vô hạn ở hàm callback của nút Lưu dự án, mất cả buổi chiều để debug.</t>
  </si>
  <si>
    <t>Khi truyền event handler qua props luôn nhớ bọc trong arrow function () =&gt; handler(data).</t>
  </si>
  <si>
    <t>Áp dụng kiến trúc luồng dữ liệu một chiều (One-way data flow) bằng cách truyền dữ liệu mảng qua biến props từ App xuống các component con để hiển thị tự động.</t>
  </si>
  <si>
    <t>AI hỗ trợ refactor code cũ thành cấu trúc mới dùng props cực kỳ nhanh, nhắc nhở việc phải luôn thêm thuộc tính key đặc biệt trong các hàm map() của React.</t>
  </si>
  <si>
    <t>(1) AI hay quên kiểm tra (validate) biến props có bị undefined hay không trước khi gọi hàm map, dễ làm sập app. (2) Đôi khi AI đổi tên biến props khác với tên mình đang đặt ở file cha.</t>
  </si>
  <si>
    <t>Hơi bối rối khi truyền và nhận props qua nhiều tầng component (Props drilling), đôi khi quên truyền props từ cha khiến dữ liệu ở component con báo lỗi undefined.</t>
  </si>
  <si>
    <t>Sẽ tìm hiểu kỹ thêm về cách gỡ lỗi (debug) luồng truyền props bằng React DevTools để kiểm soát tốt hơn.</t>
  </si>
  <si>
    <t>Lập trình component SectionWrapper sử dụng children prop, refactor App.jsx để quản lý dữ liệu tập trung và hàm callback lưu dự án, thiết kế sơ đồ Data Flow Diagram.</t>
  </si>
  <si>
    <t>Hỗ trợ thiết kế sơ đồ kiến trúc luồng dữ liệu trực quan rất rõ ràng và gợi ý giải pháp truyền hàm callback từ component cha xuống component cháu (ProjectCard) hiệu quả.</t>
  </si>
  <si>
    <t>(1) AI đề xuất truyền callback trực tiếp mà không bọc arrow function: onClick={onSaveProject(project)}, gây ra lỗi lặp vô hạn (Infinite loop) khi render component. (2) Trong component App.jsx, AI quên không khai báo tham số nhận dữ liệu đầu vào cho hàm handleSaveProject, dẫn đến việc khi gọi hàm thì dữ liệu in ra bị undefined.</t>
  </si>
  <si>
    <t>Khó khăn trong việc debug lỗi HMR (Hot Module Replacement) của Vite khi cố gắng export song song mảng dữ liệu tĩnh bên cạnh mặc định component chính.</t>
  </si>
  <si>
    <t>Sẽ sử dụng thư viện ràng buộc kiểu dữ liệu truyền nhận (Prop-types hoặc TypeScript) từ ban đầu để dễ dàng kiểm soát lỗi truyền sai kiểu dữ liệu.</t>
  </si>
  <si>
    <t>FER202  |  Week 03  |  FPT University — Điền xong nhớ Ctrl+S để lưu!</t>
  </si>
  <si>
    <t>2026-06-26</t>
  </si>
  <si>
    <t>Xây dựng SearchBar.jsx controlled component với state keyword</t>
  </si>
  <si>
    <t>src/components/SearchBar.jsx</t>
  </si>
  <si>
    <t>Bind value={keyword} và onChange={(e) =&gt; setKeyword(e.target.value)}</t>
  </si>
  <si>
    <t>Gõ phím state cập nhật real-time</t>
  </si>
  <si>
    <t>Thêm validation cảnh báo đỏ khi từ khóa &lt; 2 ký tự và nút clear (x)</t>
  </si>
  <si>
    <t>Thêm text cảnh báo màu đỏ và nút reset từ khóa</t>
  </si>
  <si>
    <t>Nhập 1 ký tự hiển thị cảnh báo</t>
  </si>
  <si>
    <t>Khai báo savedProjects state tại App.jsx và hàm handleSaveProject bất biến</t>
  </si>
  <si>
    <t>src/App.jsx</t>
  </si>
  <si>
    <t>Dùng Spread operator [...prev, item] &amp; filter, tránh push()</t>
  </si>
  <si>
    <t>State không bị mutate trực tiếp</t>
  </si>
  <si>
    <t>Cập nhật Header.jsx nhận savedCount hiển thị badge số lượng real-time</t>
  </si>
  <si>
    <t>Áp dụng kỹ thuật Lifting State Up lên App.jsx</t>
  </si>
  <si>
    <t>Badge nhảy số chính xác khi lưu</t>
  </si>
  <si>
    <t>Khai báo activeCategory state và tính toán derived state filteredProjects</t>
  </si>
  <si>
    <t>Kết hợp lọc danh mục &amp; từ khóa tìm kiếm</t>
  </si>
  <si>
    <t>Kết quả lọc chính xác 100%</t>
  </si>
  <si>
    <t>Tạo SavedProjectsModal.jsx drawer quản lý dự án đã lưu và tính tổng budget</t>
  </si>
  <si>
    <t>src/components/SavedProjectsModal.jsx</t>
  </si>
  <si>
    <t>Thêm nút xóa từng dự án và nút ứng tuyển ngay</t>
  </si>
  <si>
    <t>Drawer hiển thị mượt mượt</t>
  </si>
  <si>
    <t>Tạo SearchBar.jsx controlled component, validation warning &lt; 2 ký tự, nút clear (x)</t>
  </si>
  <si>
    <t>Nâng state (Lifting State Up) từ SearchBar và Header lên App.jsx</t>
  </si>
  <si>
    <t>Sửa lỗi mutate state trực tiếp savedProjects.push(item)</t>
  </si>
  <si>
    <t>Viết component SearchBar.jsx là controlled component với input value={keyword}, hiển thị cảnh báo lỗi đỏ khi từ khóa &lt; 2 ký tự và nút xóa x.</t>
  </si>
  <si>
    <t>Code SearchBar với useState nội bộ trong SearchBar.</t>
  </si>
  <si>
    <t>Chuyển state keyword lên component cha (App.jsx) để thực hiện Lifting State Up.</t>
  </si>
  <si>
    <t>Gõ 1 ký tự hiện warning đỏ, bấm nút (x) xóa sạch từ khóa.</t>
  </si>
  <si>
    <t>Prompt #2</t>
  </si>
  <si>
    <t>Prompt #3</t>
  </si>
  <si>
    <t>Thành viên A — Phan Hữu Linh (Trưởng nhóm)</t>
  </si>
  <si>
    <t>Code SearchBar.jsx, quản lý state bất biến (Immutable) tại App.jsx, cập nhật badge Header.</t>
  </si>
  <si>
    <t>Gợi ý cách viết điều kiện validation và hiệu ứng hiển thị thông báo lỗi.</t>
  </si>
  <si>
    <t>(1) AI ban đầu dùng state nội bộ trong SearchBar khiến App không lấy được từ khóa; (2) AI gợi ý mutating state bằng `.push()` làm hỏng Virtual DOM shallow comparison.</t>
  </si>
  <si>
    <t>Hiểu và giải thích nguyên lý Immutable State Updates cho nhóm.</t>
  </si>
  <si>
    <t>Luôn áp dụng Spread Operator `[...prev, newItem]` khi cập nhật state mảng.</t>
  </si>
  <si>
    <t>Quản lý state savedProjects tại App.jsx và truyền dữ liệu hiển thị badge xuống Header.jsx.</t>
  </si>
  <si>
    <t>Hướng dẫn kỹ thuật Lifting State Up và cách cập nhật mảng state bất biến.</t>
  </si>
  <si>
    <t>(1) AI gợi ý dùng hàm push() làm thay đổi trực tiếp state gốc; (2) AI viết thiếu prop-types kiểm thử dữ liệu đầu vào.</t>
  </si>
  <si>
    <t>Hiểu rõ cơ chế re-render của React khi state cha thay đổi.</t>
  </si>
  <si>
    <t>Sử dụng các hook tối ưu hóa render nếu số lượng dự án đã lưu tăng lên.</t>
  </si>
  <si>
    <t>Xây dựng component SearchBar.jsx kiểm soát dữ liệu và thiết kế drawer SavedProjectsModal.jsx.</t>
  </si>
  <si>
    <t>Gợi ý cấu trúc controlled component và các hiệu ứng chuyển động trượt của drawer.</t>
  </si>
  <si>
    <t>(1) AI không xử lý đóng drawer khi click bên ngoài; (2) AI không validate dữ liệu tìm kiếm dẫn đến lỗi render khi nhập ký tự đặc biệt.</t>
  </si>
  <si>
    <t>Cấu hình CSS transition cho drawer trượt mượt mà.</t>
  </si>
  <si>
    <t>Sử dụng thư viện React-Bootstrap Offcanvas thay vì tự code drawer CSS.</t>
  </si>
  <si>
    <t>FER202  |  Week 04  |  FPT University — Điền xong nhớ Ctrl+S để lưu!</t>
  </si>
  <si>
    <t>WEEK 05 — Nhật ký AI &amp; Project</t>
  </si>
  <si>
    <t>02/06/2026</t>
  </si>
  <si>
    <t>Xây dựng cấu trúc API đăng nhập</t>
  </si>
  <si>
    <t>authController.js</t>
  </si>
  <si>
    <t>Thêm logic xác thực user và kiểm tra quyền admin</t>
  </si>
  <si>
    <t>Test qua Postman, status 200</t>
  </si>
  <si>
    <t>Viết middleware kiểm tra JWT</t>
  </si>
  <si>
    <t>authMiddleware.js</t>
  </si>
  <si>
    <t>Tích hợp xác thực token cho các route bảo mật</t>
  </si>
  <si>
    <t>Unit test middleware chạy tốt</t>
  </si>
  <si>
    <t>04/06/2026</t>
  </si>
  <si>
    <t>Thiết kế Employer Dashboard</t>
  </si>
  <si>
    <t>EmployerDashboard.fig</t>
  </si>
  <si>
    <t>Điều chỉnh bố cục Dashboard của Employer</t>
  </si>
  <si>
    <t>Review nhóm đồng ý layout</t>
  </si>
  <si>
    <t>05/06/2026</t>
  </si>
  <si>
    <t>Thiết kế luồng tạo dự án và gửi proposal</t>
  </si>
  <si>
    <t>ProjectFlow.drawio</t>
  </si>
  <si>
    <t>Bổ sung trạng thái dự án (Open, In Progress, Completed)</t>
  </si>
  <si>
    <t>Đối chiếu Use Case đặc tả</t>
  </si>
  <si>
    <t>Đề xuất UI quản lý Proposal &amp; duyệt Freelancer</t>
  </si>
  <si>
    <t>ProposalUI.fig</t>
  </si>
  <si>
    <t>Điều chỉnh bố cục Proposal chi tiết</t>
  </si>
  <si>
    <t>Review UI thiết kế</t>
  </si>
  <si>
    <t>06/06/2026</t>
  </si>
  <si>
    <t>Xây dựng giao diện xem ví &amp; giao dịch</t>
  </si>
  <si>
    <t>WalletLayout.fig</t>
  </si>
  <si>
    <t>Bổ sung các trường thông tin số dư, lịch sử nạp tiền</t>
  </si>
  <si>
    <t>Đạt chuẩn UI/UX của nhóm</t>
  </si>
  <si>
    <t>07/06/2026</t>
  </si>
  <si>
    <t>Tạo layout cho trang Tìm kiếm dự án</t>
  </si>
  <si>
    <t>SearchProjects.fig</t>
  </si>
  <si>
    <t>Thêm bộ lọc tìm kiếm theo ngân sách và kỹ năng</t>
  </si>
  <si>
    <t>Review UI thiết kế responsive</t>
  </si>
  <si>
    <t>Tích hợp hệ thống Backend Authentication &amp; phân quyền</t>
  </si>
  <si>
    <t>Auth Core</t>
  </si>
  <si>
    <t>Thiết kế Employer Dashboard và luồng quản lý Project</t>
  </si>
  <si>
    <t>UI Design</t>
  </si>
  <si>
    <t>Thiết kế giao diện ví điện tử và trang tìm kiếm dự án</t>
  </si>
  <si>
    <t>Nâng cấp cơ chế kiểm tra token trong middleware</t>
  </si>
  <si>
    <t>Security Update</t>
  </si>
  <si>
    <t>Tối ưu hóa UI quản lý Proposal của Employer</t>
  </si>
  <si>
    <t>Design Review</t>
  </si>
  <si>
    <t>Cập nhật giao diện Tiếng Việt cho trang Tìm kiếm</t>
  </si>
  <si>
    <t>frontend/App.jsx</t>
  </si>
  <si>
    <t>Localization</t>
  </si>
  <si>
    <t>Sửa lỗi kiểm tra token hết hạn trong middleware</t>
  </si>
  <si>
    <t>Bug Fix</t>
  </si>
  <si>
    <t>Sửa lỗi trạng thái dự án không đồng bộ trên sơ đồ luồng</t>
  </si>
  <si>
    <t>Flow Fix</t>
  </si>
  <si>
    <t>Sửa lỗi căn lề nút Tìm kiếm dự án</t>
  </si>
  <si>
    <t>frontend/src/components/Header.jsx</t>
  </si>
  <si>
    <t>CSS Fix</t>
  </si>
  <si>
    <t>Loại bỏ widget không thuộc phạm vi đồ án trên Dashboard</t>
  </si>
  <si>
    <t>Scope Control</t>
  </si>
  <si>
    <t>Viết cho tôi một API controller bằng Node.js và Express để xử lý logic đăng nhập người dùng, bao gồm kiểm tra email, mật khẩu đã hash và trả về JWT token.</t>
  </si>
  <si>
    <t>AI tạo ra controller hoạt động tốt nhưng thiếu phần xử lý lỗi cụ thể (error handling) cho các trường hợp sai mật khẩu.</t>
  </si>
  <si>
    <t>Tôi thêm các block try-catch và trả về mã lỗi HTTP 401 Unauthorized thay vì chỉ trả về thông báo lỗi chung chung.</t>
  </si>
  <si>
    <t>Test pass. Kết quả kiểm tra bằng Postman cho đúng status code 401 khi nhập sai mật khẩu.</t>
  </si>
  <si>
    <t>Đề xuất wireframe cho trang quản lý dự án của Employer.</t>
  </si>
  <si>
    <t>AI tạo wireframe hợp lý nhưng thiếu responsive và các trạng thái của dự án.</t>
  </si>
  <si>
    <t>Bổ sung responsive và điều chỉnh navigation, thêm trạng thái dự án.</t>
  </si>
  <si>
    <t>Áp dụng vào thiết kế thành công.</t>
  </si>
  <si>
    <t>Đề xuất giao diện ví điện tử tích hợp lịch sử giao dịch và liên kết tài khoản ngân hàng.</t>
  </si>
  <si>
    <t>Giao diện chi tiết nhưng quá nhiều cột dữ liệu phức tạp, không phù hợp cho màn hình di động.</t>
  </si>
  <si>
    <t>Rút gọn các cột không quan trọng trên thiết bị di động, sử dụng flex layout co giãn.</t>
  </si>
  <si>
    <t>Áp dụng vào thiết kế ví điện tử của Freelancer và Employer thành công.</t>
  </si>
  <si>
    <t>Tôi đã hoàn thành việc xây dựng hệ thống Backend Authentication, bao gồm thiết lập các controller cho đăng nhập/đăng ký, tạo JWT để quản lý phiên làm việc và bảo mật mật khẩu bằng bcrypt.</t>
  </si>
  <si>
    <t>AI giúp tôi viết khung code nhanh chóng cho các hàm xác thực và cấu trúc middleware, giúp tôi tiết kiệm thời gian viết các boilerplate code (code mẫu) cơ bản.</t>
  </si>
  <si>
    <t>Thứ nhất, AI thường tạo code thiếu các trường hợp xử lý lỗi biên (edge cases) như khi database bị timeout. Thứ hai, AI đề xuất cấu trúc bảo mật hơi cũ, tôi cần phải yêu cầu nó cập nhật sang các chuẩn bảo mật mới nhất cho JWT.</t>
  </si>
  <si>
    <t>Khó khăn lớn nhất là đồng bộ hóa cách xử lý token giữa controller của tôi và middleware kiểm tra quyền truy cập do sự khác biệt trong cấu trúc dữ liệu.</t>
  </si>
  <si>
    <t>Nếu làm lại, tôi sẽ yêu cầu AI ngay từ đầu đưa ra các đoạn code có sẵn unit test đi kèm để tôi có thể kiểm chứng ngay lập tức thay vì phải tự viết các kịch bản test.</t>
  </si>
  <si>
    <t>Hoàn thành thiết kế wireframe cho Wallet layout và luồng giao dịch, liên kết ngân hàng kèm theo trang tìm kiếm dự án.</t>
  </si>
  <si>
    <t>ChatGPT hỗ trợ đề xuất bố cục UI ví điện tử và trang tìm kiếm trực quan.</t>
  </si>
  <si>
    <t>AI đề xuất biểu mẫu nạp tiền khá phức tạp, thiếu các tùy chọn ngân hàng phổ biến tại Việt Nam.</t>
  </si>
  <si>
    <t>Khó thiết kế biểu mẫu nạp tiền đơn giản nhưng vẫn đảm bảo đầy đủ các trường thông tin giao dịch cần thiết.</t>
  </si>
  <si>
    <t>Sẽ cung cấp các mẫu ví điện tử phổ biến để AI tham khảo trước khi sinh giao diện.</t>
  </si>
  <si>
    <t>Hoàn thành thiết kế wireframe cho Employer Dashboard, trang chi tiết dự án và luồng quản lý Project, Proposal cho hệ thống FJMS.</t>
  </si>
  <si>
    <t>ChatGPT hỗ trợ đề xuất bố cục UI, wireframe và tối ưu trải nghiệm duyệt ứng viên cho Employer.</t>
  </si>
  <si>
    <t>AI đề xuất giao diện khá phức tạp và chưa xét đầy đủ responsive trên các thiết bị di động.</t>
  </si>
  <si>
    <t>Khó cân bằng giữa trải nghiệm người dùng đầy đủ tính năng và khả năng triển khai code ReactJS của nhóm.</t>
  </si>
  <si>
    <t>Sẽ cung cấp yêu cầu UI/UX chi tiết hơn (như số lượng cột, breakpoint) trước khi sử dụng AI để sinh wireframe.</t>
  </si>
  <si>
    <t>FER202 | Week 05 | FPT University — Điền xong nhớ Ctrl+S để lưu!</t>
  </si>
  <si>
    <t>WEEK 06 — Nhật ký AI &amp; Project</t>
  </si>
  <si>
    <t>09/06/2026</t>
  </si>
  <si>
    <t>Đồng bộ cấu trúc database mới</t>
  </si>
  <si>
    <t>backend/config/db.js</t>
  </si>
  <si>
    <t>Sửa cấu hình kết nối mssql với các biến môi trường mới</t>
  </si>
  <si>
    <t>Kết nối thành công tới SQL Server local</t>
  </si>
  <si>
    <t>Cập nhật logic lưu trữ người dùng trong database</t>
  </si>
  <si>
    <t>backend/controllers/userController.js</t>
  </si>
  <si>
    <t>Tích hợp thêm các trường dữ liệu mới của users vào câu lệnh SQL</t>
  </si>
  <si>
    <t>Test query trên SQL Server chạy thành công</t>
  </si>
  <si>
    <t>10/06/2026</t>
  </si>
  <si>
    <t>Xây dựng component hiển thị danh sách dự án của Employer</t>
  </si>
  <si>
    <t>frontend/src/components/ProjectList.jsx</t>
  </si>
  <si>
    <t>Tạo component dạng list hiển thị tiêu đề, ngân sách, deadline</t>
  </si>
  <si>
    <t>Hiển thị tốt trên màn hình desktop</t>
  </si>
  <si>
    <t>12/06/2026</t>
  </si>
  <si>
    <t>Tối ưu responsive cho trang quản lý dự án</t>
  </si>
  <si>
    <t>frontend/src/pages/Employer/Dashboard.jsx</t>
  </si>
  <si>
    <t>Điều chỉnh flex wrap và kích thước padding trên mobile</t>
  </si>
  <si>
    <t>Không bị vỡ layout ở các breakpoint màn hình</t>
  </si>
  <si>
    <t>14/06/2026</t>
  </si>
  <si>
    <t>Thiết kế giao diện thống kê Analytics cho Admin</t>
  </si>
  <si>
    <t>frontend/pages/Admin/Dashboard.jsx</t>
  </si>
  <si>
    <t>Xây dựng layout hiển thị biểu đồ doanh thu và số lượng user</t>
  </si>
  <si>
    <t>Giao diện hiển thị trực quan biểu đồ</t>
  </si>
  <si>
    <t>Tích hợp thư viện Recharts vào Admin Dashboard</t>
  </si>
  <si>
    <t>Cấu hình biểu đồ Area và Bar chart để hiển thị dữ liệu thống kê</t>
  </si>
  <si>
    <t>Biểu đồ co giãn responsive tốt</t>
  </si>
  <si>
    <t>Tích hợp giao diện Admin Analytics Dashboard bằng Recharts</t>
  </si>
  <si>
    <t>Admin Feature</t>
  </si>
  <si>
    <t>Tạo Component ProjectList hiển thị danh sách dự án của Employer</t>
  </si>
  <si>
    <t>UI Component</t>
  </si>
  <si>
    <t>Bổ sung file hướng dẫn quy trình làm việc TEAM_WORKFLOW.md</t>
  </si>
  <si>
    <t>TEAM_WORKFLOW.md</t>
  </si>
  <si>
    <t>Documentation</t>
  </si>
  <si>
    <t>Cập nhật cấu trúc database kết nối SQL Server và viết SQL patch</t>
  </si>
  <si>
    <t>Database Refactor</t>
  </si>
  <si>
    <t>Tái cấu trúc authController và userController để dùng cấu trúc DB mới</t>
  </si>
  <si>
    <t>backend/controllers/authController.js</t>
  </si>
  <si>
    <t>API Controller</t>
  </si>
  <si>
    <t>Nâng cấp UI trang Employer Dashboard hiển thị danh sách dự án và proposals</t>
  </si>
  <si>
    <t>UI Refactor</t>
  </si>
  <si>
    <t>Sửa lỗi timeout khi kết nối tới SQL Server từ backend</t>
  </si>
  <si>
    <t>Sửa lỗi hiển thị sai định dạng ngày tháng trong danh sách dự án</t>
  </si>
  <si>
    <t>UI Bug</t>
  </si>
  <si>
    <t>Làm thế nào để vẽ biểu đồ đường (LineChart) hiển thị doanh thu theo tháng bằng Recharts trong React?</t>
  </si>
  <si>
    <t>AI cung cấp code ví dụ rất chi tiết và dễ hiểu, nhưng dữ liệu mẫu là mảng tĩnh (mock static array).</t>
  </si>
  <si>
    <t>Tôi lấy code cấu hình LineChart và ResponsiveContainer, rồi viết hàm useEffect để fetch dữ liệu động từ API.</t>
  </si>
  <si>
    <t>Test pass. Biểu đồ hiển thị dữ liệu chính xác và co giãn mượt mà khi thay đổi kích thước trình duyệt.</t>
  </si>
  <si>
    <t>Viết truy vấn SQL Server để lấy thông tin đăng nhập kèm theo quyền hạn của người dùng từ bảng users và roles.</t>
  </si>
  <si>
    <t>AI viết câu lệnh SELECT JOIN chính xác, nhưng sử dụng cú pháp MySQL thay vì MSSQL (dùng LIMIT thay vì OFFSET/FETCH).</t>
  </si>
  <si>
    <t>Tôi tự điều chỉnh lại cú pháp JOIN và OFFSET FETCH tương thích với SQL Server của dự án.</t>
  </si>
  <si>
    <t>Truy vấn chạy thành công trên SQL Server Management Studio.</t>
  </si>
  <si>
    <t>Làm sao để format hiển thị giá tiền Việt Nam Đồng (VND) trong JavaScript?</t>
  </si>
  <si>
    <t>AI đề xuất dùng hàm Intl.NumberFormat, giải thích tham số vi-VN rất rõ ràng.</t>
  </si>
  <si>
    <t>Viết một helper function formatCurrency và import vào ProjectList để định dạng ngân sách.</t>
  </si>
  <si>
    <t>Ngân sách từ 5000000 hiển thị đẹp mắt thành 5.000.000 ₫.</t>
  </si>
  <si>
    <t>Tôi đã hoàn thành việc đồng bộ cấu trúc SQL Server mới, nâng cấp file db.js và cập nhật controllers kết nối để thực hiện các truy vấn phức tạp cho Admin Dashboard.</t>
  </si>
  <si>
    <t>AI hỗ trợ tôi viết nhanh các câu lệnh SQL JOIN phức tạp và các biểu đồ của Recharts cho Analytics Dashboard.</t>
  </si>
  <si>
    <t>AI thỉnh thoảng nhầm lẫn cú pháp SQL Server với MySQL (như sử dụng LIMIT). Ngoài ra, AI gợi ý cấu hình connection pool chưa tối ưu dẫn đến thỉnh thoảng bị timeout kết nối.</t>
  </si>
  <si>
    <t>Khó khăn trong việc đồng bộ hóa cấu trúc database local của các thành viên trong nhóm, giải quyết bằng cách viết tài liệu TEAM_WORKFLOW.md.</t>
  </si>
  <si>
    <t>Tôi sẽ thiết lập sẵn file SQL script tạo database mẫu và dữ liệu dummy hoàn chỉnh hơn để cả nhóm dễ dàng đồng bộ.</t>
  </si>
  <si>
    <t>Xây dựng khung logic kết nối API cho Ví điện tử, bắt đầu viết service cho VNPay nạp tiền.</t>
  </si>
  <si>
    <t>AI hỗ trợ tôi tìm hiểu các tham số bắt buộc của tài liệu cổng thanh toán VNPay và cách cấu hình môi trường test.</t>
  </si>
  <si>
    <t>Tài liệu VNPay mà AI tham khảo bị cũ, sai lệch một số trường như vnp_Version.</t>
  </si>
  <si>
    <t>Gặp khó khăn khi viết hàm ký chữ ký số SHA512 bảo mật để gửi yêu cầu thanh toán sang VNPay.</t>
  </si>
  <si>
    <t>Tôi sẽ tự đọc tài liệu VNPay sandbox chính thức thay vì hoàn toàn phụ thuộc vào code AI gợi ý.</t>
  </si>
  <si>
    <t>Xây dựng component ProjectList và tích hợp hiển thị danh sách dự án và proposals trên Employer Dashboard.</t>
  </si>
  <si>
    <t>AI giúp tạo nhanh khung component React và gợi ý các class Tailwind để căn chỉnh khoảng cách giữa các card dự án.</t>
  </si>
  <si>
    <t>AI gợi ý viết inline style CSS cho một số hiệu ứng hover, làm code bị lộn xộn và không nhất quán với Tailwind.</t>
  </si>
  <si>
    <t>Khó khăn trong việc định dạng ngày tháng và tiền tệ đồng bộ từ database backend trả về.</t>
  </si>
  <si>
    <t>Tôi sẽ viết riêng các hàm helper định dạng ngày tháng và tiền tệ để tái sử dụng ở mọi component thay vì viết ad-hoc.</t>
  </si>
  <si>
    <t>FER202 | Week 06 | FPT University — Điền xong nhớ Ctrl+S để lưu!</t>
  </si>
  <si>
    <t>WEEK 07 — Nhật ký AI &amp; Project</t>
  </si>
  <si>
    <t>15/06/2026</t>
  </si>
  <si>
    <t>Tích hợp thanh toán VNPay và ví điện tử</t>
  </si>
  <si>
    <t>backend/modules/payment/vnpay.service.js</t>
  </si>
  <si>
    <t>Xây dựng logic tạo URL thanh toán VNPay và xử lý dữ liệu IPN trả về để cập nhật số dư ví</t>
  </si>
  <si>
    <t>Giao dịch thành công và cập nhật số dư DB</t>
  </si>
  <si>
    <t>Xử lý cấm/mở cấm tài khoản người dùng</t>
  </si>
  <si>
    <t>Viết API ban/unban user và kiểm tra status ACTIVE tại middleware đăng nhập</t>
  </si>
  <si>
    <t>Tài khoản bị cấm không thể đăng nhập</t>
  </si>
  <si>
    <t>16/06/2026</t>
  </si>
  <si>
    <t>Xây dựng module tin nhắn</t>
  </si>
  <si>
    <t>backend/controllers/chatController.js</t>
  </si>
  <si>
    <t>Viết các endpoint gửi/nhận tin nhắn thời gian thực và quản lý phòng chat</t>
  </si>
  <si>
    <t>Tin nhắn gửi đi hiển thị tức thì</t>
  </si>
  <si>
    <t>18/06/2026</t>
  </si>
  <si>
    <t>Xây dựng chatbot hỗ trợ sử dụng AI</t>
  </si>
  <si>
    <t>backend/services/aiChatService.js</t>
  </si>
  <si>
    <t>Tích hợp API Gemini để trả lời tự động các câu hỏi của người dùng</t>
  </si>
  <si>
    <t>Chatbot phản hồi đúng nội dung trong 2s</t>
  </si>
  <si>
    <t>Xây dựng công cụ gợi ý Freelancer</t>
  </si>
  <si>
    <t>backend/services/recommendationService.js</t>
  </si>
  <si>
    <t>Viết thuật toán tính điểm độ phù hợp kỹ năng giữa Freelancer và dự án</t>
  </si>
  <si>
    <t>Gợi ý chính xác các ứng viên phù hợp</t>
  </si>
  <si>
    <t>21/06/2026</t>
  </si>
  <si>
    <t>Giao diện đánh giá Freelancer</t>
  </si>
  <si>
    <t>frontend/src/pages/Public/Profile.jsx</t>
  </si>
  <si>
    <t>Tạo form rate/review freelancer sau khi hoàn thành hợp đồng</t>
  </si>
  <si>
    <t>Review được lưu vào DB và cập nhật số sao</t>
  </si>
  <si>
    <t>Xem chi tiết hồ sơ Freelancer</t>
  </si>
  <si>
    <t>Hiển thị kỹ năng, lịch sử làm việc, các review của Freelancer</t>
  </si>
  <si>
    <t>Thông tin hiển thị đầy đủ, đẹp mắt</t>
  </si>
  <si>
    <t>Thêm tính năng xóa dự án đã đăng</t>
  </si>
  <si>
    <t>frontend/src/pages/Employer/MyProjects.jsx</t>
  </si>
  <si>
    <t>Viết nút Delete, gọi API xóa mềm dự án trong DB</t>
  </si>
  <si>
    <t>Dự án biến mất khỏi danh sách sau khi xác nhận</t>
  </si>
  <si>
    <t>Tích hợp thanh toán VNPay, quản lý ví điện tử và ký quỹ (Escrow)</t>
  </si>
  <si>
    <t>Payment System</t>
  </si>
  <si>
    <t>Xây dựng AI Chatbot hỗ trợ người dùng và Gợi ý Freelancer thông minh</t>
  </si>
  <si>
    <t>AI Features</t>
  </si>
  <si>
    <t>Thêm giao diện Đánh giá (Rate &amp; Review) Freelancer sau khi hoàn thành hợp đồng</t>
  </si>
  <si>
    <t>Rating Feature</t>
  </si>
  <si>
    <t>Nâng cấp UI trang My Projects với phong cách bento card và tích hợp nút Delete</t>
  </si>
  <si>
    <t>UI Redesign</t>
  </si>
  <si>
    <t>Cập nhật giao diện quản lý User của Admin để hỗ trợ Ban/Unban và Moderation</t>
  </si>
  <si>
    <t>frontend/src/pages/Admin/Users.jsx</t>
  </si>
  <si>
    <t>Admin Management</t>
  </si>
  <si>
    <t>Nâng cấp UI Wallet của Employer và Freelancer để tích hợp nạp rút VNPay</t>
  </si>
  <si>
    <t>frontend/src/pages/Employer/Wallet.jsx</t>
  </si>
  <si>
    <t>Wallet Update</t>
  </si>
  <si>
    <t>Sửa lỗi Chat Sidebar bị lệch và cải thiện Socket connection</t>
  </si>
  <si>
    <t>Chat Fix</t>
  </si>
  <si>
    <t>Sửa lỗi click đếm proposals không chuyển trang đúng trong MyProjects</t>
  </si>
  <si>
    <t>UI Route Fix</t>
  </si>
  <si>
    <t>Loại bỏ các file cấu hình dotenv không dùng tới trong server.js</t>
  </si>
  <si>
    <t>backend/server.js</t>
  </si>
  <si>
    <t>Clean Code</t>
  </si>
  <si>
    <t>Làm thế nào để tạo chữ ký hash bảo mật SHA512 cho tham số thanh toán của VNPay trong Node.js?</t>
  </si>
  <si>
    <t>AI cung cấp hàm sử dụng thư viện crypto có sẵn của Node.js, viết rất chuẩn xác.</t>
  </si>
  <si>
    <t>Tôi lấy hàm đó cấu hình vào file vnpay.service.js để tạo secure hash gửi sang VNPay gateway.</t>
  </si>
  <si>
    <t>Test pass. VNPay nhận diện đúng chữ ký bảo mật và cho phép tiến hành thanh toán.</t>
  </si>
  <si>
    <t>Hãy chỉ tôi cách gọi API Gemini Pro từ backend Node.js để gửi câu hỏi của user và nhận phản hồi dạng text.</t>
  </si>
  <si>
    <t>AI hướng dẫn cài đặt thư viện @google/generative-ai và viết hàm gọi API, nhưng cung cấp cú pháp cũ của bản SDK v1.</t>
  </si>
  <si>
    <t>Tôi đọc lại tài liệu chính thức của Google Gemini SDK và sửa lại cú pháp khởi tạo Model và generateContent.</t>
  </si>
  <si>
    <t>Chatbot kết nối thành công API Gemini và trả về câu trả lời chính xác.</t>
  </si>
  <si>
    <t>Hãy viết code Tailwind CSS để tạo bố cục Bento grid đẹp mắt hiển thị danh sách dự án.</t>
  </si>
  <si>
    <t>AI trả về layout Bento card rất đẹp mắt với các hiệu ứng shadow và border tinh tế, nhưng khoảng cách giữa các cột bị lệch trên màn hình tablet.</t>
  </si>
  <si>
    <t>Tôi sửa lại grid-cols-1 md:grid-cols-2 lg:grid-cols-3 và tinh chỉnh gap-6 để hiển thị cân đối.</t>
  </si>
  <si>
    <t>Trang My Projects hiển thị sang trọng và chuyên nghiệp.</t>
  </si>
  <si>
    <t>Tôi đã hoàn thành hệ thống Chat thời gian thực, Chatbot hỗ trợ sử dụng AI, và thuật toán gợi ý Freelancer. Đồng thời hoàn thành phân hệ cấm/mở khóa tài khoản Admin và giải quyết các báo cáo vi phạm.</t>
  </si>
  <si>
    <t>AI hỗ trợ tôi viết cấu trúc kết nối Socket.io để xử lý tin nhắn thời gian thực và cấu hình SDK Google Gemini.</t>
  </si>
  <si>
    <t>AI đề xuất API Gemini Pro theo cú pháp cũ bị lỗi thời. Thuật toán gợi ý Freelancer ban đầu do AI sinh quá đơn giản, không xếp hạng được mức độ phù hợp kỹ năng một cách chi tiết.</t>
  </si>
  <si>
    <t>Khó khăn trong việc tích hợp Chatbot vào giao diện Chat Sidebar mà không làm chậm trải nghiệm gửi tin nhắn của người dùng.</t>
  </si>
  <si>
    <t>Tôi sẽ chuyển thuật toán gợi ý thành lưu trữ trong database (Stored Procedure) để truy vấn nhanh hơn thay vì xử lý bằng JavaScript ở backend.</t>
  </si>
  <si>
    <t>Tôi đã tích hợp thành công cổng thanh toán VNPay, xây dựng hệ thống ví điện tử và ký quỹ Escrow bảo đảm cho các giao dịch nạp rút, liên kết ngân hàng và thanh toán hợp đồng.</t>
  </si>
  <si>
    <t>AI hỗ trợ tôi viết hàm tạo chữ ký SHA512 bảo mật cho VNPay và xử lý logic cộng trừ số dư ví.</t>
  </si>
  <si>
    <t>AI thỉnh thoảng sinh logic cộng trừ tiền bị lỗi làm tròn số thập phân (float precision) trong JavaScript.</t>
  </si>
  <si>
    <t>Khó khăn lớn nhất là đồng bộ hóa trạng thái giao dịch VNPay (IPN) do VNPay gọi callback bất đồng bộ.</t>
  </si>
  <si>
    <t>Tôi sẽ thiết lập hệ thống logging chi tiết cho các giao dịch thanh toán để dễ dàng kiểm tra lỗi khi tích hợp.</t>
  </si>
  <si>
    <t>Tôi đã hoàn thành giao diện xem chi tiết hồ sơ Freelancer, form đánh giá và chấm điểm sao cho Freelancer sau hợp đồng, tính năng xóa dự án, và thiết kế lại giao diện My Projects.</t>
  </si>
  <si>
    <t>AI giúp tôi tạo giao diện Bento card đẹp mắt cho danh sách dự án và viết nhanh component hiển thị số sao đánh giá.</t>
  </si>
  <si>
    <t>AI sinh CSS Tailwind bị trùng lặp class và thỉnh thoảng tạo ra các class không tồn tại trong Tailwind CSS v3.</t>
  </si>
  <si>
    <t>Khó khăn khi xử lý hiển thị trung bình cộng số sao đánh giá của Freelancer từ DB dưới dạng các ngôi sao giao diện.</t>
  </si>
  <si>
    <t>Tôi sẽ sử dụng thư viện react-stars hoặc các icon SVG chuẩn để hiển thị số sao chính xác hơn thay vì tự code thủ công.</t>
  </si>
  <si>
    <t>FER202 | Week 07 | FPT University — Điền xong nhớ Ctrl+S để lưu!</t>
  </si>
  <si>
    <t>2026-06-30</t>
  </si>
  <si>
    <t>Xây dựng projectService.js sử dụng axios.create cho 5 hàm CRUD</t>
  </si>
  <si>
    <t>src/services/projectService.js</t>
  </si>
  <si>
    <t>Cấu hình BaseURL và timeout 5000ms</t>
  </si>
  <si>
    <t>Gọi API CRUD thành công</t>
  </si>
  <si>
    <t>Quản lý 3 trạng thái bất đồng bộ Loading Spinner, Error Alert và Success Data</t>
  </si>
  <si>
    <t>src/pages/ProjectListPage.jsx</t>
  </si>
  <si>
    <t>Thêm nút retry khi xảy ra lỗi network</t>
  </si>
  <si>
    <t>Spinner quay khi loading</t>
  </si>
  <si>
    <t>Thiết kế ProjectManagePage.jsx (Admin CRUD) với Form Modal Thêm/Sửa dự án</t>
  </si>
  <si>
    <t>src/pages/admin/ProjectManagePage.jsx</t>
  </si>
  <si>
    <t>Validate dữ liệu form trước khi submit API</t>
  </si>
  <si>
    <t>Thêm/Sửa/Xóa cập nhật API</t>
  </si>
  <si>
    <t>Xây dựng projectService.js sử dụng axios.create cho 5 phương thức CRUD</t>
  </si>
  <si>
    <t>Cấu hình BaseURL và Interceptors xử lý error responses</t>
  </si>
  <si>
    <t>Sửa lỗi CORS khi gọi mock API endpoint</t>
  </si>
  <si>
    <t>Viết file projectService.js dùng Axios gọi API json-server với các hàm getProjects, createProject, updateProject, deleteProject.</t>
  </si>
  <si>
    <t>File projectService với các hàm async/await axios cơ bản.</t>
  </si>
  <si>
    <t>Thêm instance `axios.create` có `baseURL` và `timeout: 5000` chuyên nghiệp.</t>
  </si>
  <si>
    <t>Gọi API trả về data 8 dự án chính xác.</t>
  </si>
  <si>
    <t>Viết Service Layer với Axios, xử lý các trạng thái bất đồng bộ.</t>
  </si>
  <si>
    <t>Gợi ý cú pháp async/await và xử lý try/catch chuyên nghiệp.</t>
  </si>
  <si>
    <t>(1) AI dùng `axios.get` trực tiếp mà không dùng instance cấu hình sẵn; (2) AI không xử lý lỗi timeout khi server không phản hồi.</t>
  </si>
  <si>
    <t>Đồng bộ dữ liệu hiển thị tức thì sau khi thao tác CRUD.</t>
  </si>
  <si>
    <t>Áp dụng cơ chế Optimistic UI Updates khi cập nhật dữ liệu.</t>
  </si>
  <si>
    <t>Cấu hình Service Layer với Axios và quản lý các trạng thái bất đồng bộ Loading/Error trên ProjectListPage.</t>
  </si>
  <si>
    <t>Gợi ý mẫu spinner loading và cấu trúc try-catch xử lý lỗi gọi API.</t>
  </si>
  <si>
    <t>(1) AI gợi ý gọi API trực tiếp trong render loop gây lặp vô hạn; (2) AI không bọc nút Retry trong handler phù hợp dẫn đến lỗi crash.</t>
  </si>
  <si>
    <t>Xử lý đồng bộ dữ liệu UI khi API phản hồi chậm.</t>
  </si>
  <si>
    <t>Tự động gọi lại API (auto-retry) khi gặp lỗi mạng tạm thời.</t>
  </si>
  <si>
    <t>Thiết kế trang quản trị ProjectManagePage.jsx và Modal Form Thêm/Sửa dự án.</t>
  </si>
  <si>
    <t>Viết nhanh form boilerplate và các validation rules cơ bản.</t>
  </si>
  <si>
    <t>(1) AI không reset form state sau khi đóng Modal dẫn đến lộ dữ liệu cũ; (2) AI viết thiếu confirm dialog trước khi gọi API xóa.</t>
  </si>
  <si>
    <t>Validate dữ liệu phức tạp trên Form (ví dụ: budget phải là số dương).</t>
  </si>
  <si>
    <t>Sử dụng thư viện Formik hoặc React Hook Form để quản lý validation chuyên nghiệp hơn.</t>
  </si>
  <si>
    <t>FER202  |  Week 08  |  FPT University — Điền xong nhớ Ctrl+S để lưu!</t>
  </si>
  <si>
    <t>2026-07-01</t>
  </si>
  <si>
    <t>Viết custom hook useFetch(url, params) tái sử dụng logic gọi API</t>
  </si>
  <si>
    <t>src/hooks/useFetch.js</t>
  </si>
  <si>
    <t>Dùng useCallback tránh vòng lặp vô hạn</t>
  </si>
  <si>
    <t>Code trang List gọn hơn 40%</t>
  </si>
  <si>
    <t>Viết custom hook useDebounce(value, delay) giảm số request tìm kiếm</t>
  </si>
  <si>
    <t>src/hooks/useDebounce.js</t>
  </si>
  <si>
    <t>Delay 500ms khi gõ từ khóa tìm kiếm</t>
  </si>
  <si>
    <t>Giảm 80% số lượng request</t>
  </si>
  <si>
    <t>Viết custom hook useLocalStorage(key, initialValue) đồng bộ Wishlist</t>
  </si>
  <si>
    <t>src/hooks/useLocalStorage.js</t>
  </si>
  <si>
    <t>Thêm try-catch khi parse JSON từ Storage</t>
  </si>
  <si>
    <t>Dữ liệu giữ nguyên khi F5</t>
  </si>
  <si>
    <t>Viết custom hook useFetch.js tách biệt logic gọi API và UI state</t>
  </si>
  <si>
    <t>Tái sử dụng tốt cho các trang danh sách</t>
  </si>
  <si>
    <t>Viết custom hook useDebounce.js để trì hoãn cập nhật từ khóa tìm kiếm</t>
  </si>
  <si>
    <t>Đảm bảo cleanup timer khi value hoặc delay thay đổi</t>
  </si>
  <si>
    <t>Viết custom hook useLocalStorage.js để quản lý state đồng bộ với local storage</t>
  </si>
  <si>
    <t>Hỗ trợ cả hàm khởi tạo lazy state initializer</t>
  </si>
  <si>
    <t>Refactor toàn bộ trang ProjectListPage sử dụng custom hooks useFetch và useDebounce</t>
  </si>
  <si>
    <t>Giúp rút gọn hơn 40 dòng code</t>
  </si>
  <si>
    <t>Tích hợp useDebounce vào ô tìm kiếm SearchBar ở trang ProjectListPage</t>
  </si>
  <si>
    <t>Từ khóa được debounce 500ms trước khi gọi fetch dự án</t>
  </si>
  <si>
    <t>Refactor ProjectContext sử dụng useLocalStorage để lưu trữ wishlist (Saved Projects)</t>
  </si>
  <si>
    <t>src/context/ProjectContext.jsx</t>
  </si>
  <si>
    <t>Giúp wishlist không bị mất khi reload</t>
  </si>
  <si>
    <t>Sửa lỗi infinite fetch loop do thiếu useCallback trong custom hook</t>
  </si>
  <si>
    <t>Đã thêm useCallback bọc hàm refetch</t>
  </si>
  <si>
    <t>Sửa lỗi ô input bị giật lag (losing focus) khi gõ tìm kiếm</t>
  </si>
  <si>
    <t>Tách state local của input khỏi state debounce toàn cục</t>
  </si>
  <si>
    <t>Sửa lỗi crash app khi parse JSON lỗi nếu dữ liệu trong LocalStorage không đúng định dạng</t>
  </si>
  <si>
    <t>Bọc trong khối try-catch và fallback về initialValue</t>
  </si>
  <si>
    <t>Viết custom hook useFetch(url) trong React trả về { data, loading, error, refetch } để tái sử dụng logic gọi API.</t>
  </si>
  <si>
    <t>AI tạo ra code sử dụng useState và useEffect.</t>
  </si>
  <si>
    <t>Nhóm chỉnh sửa bọc hàm refetch bằng useCallback và bổ sung dependency array chuẩn Rules of Hooks.</t>
  </si>
  <si>
    <t>Rút gọn được hơn 40 dòng code trùng lặp ở các trang gọi API.</t>
  </si>
  <si>
    <t>Prompt #2  (B — Gemini)</t>
  </si>
  <si>
    <t>Viết custom hook useDebounce trong ReactJS nhận vào một value và delay, tự động cập nhật và trả về value sau khoảng delay đó.</t>
  </si>
  <si>
    <t>AI tạo ra đoạn mã sử dụng setTimeout và useEffect để cập nhật state trì hoãn.</t>
  </si>
  <si>
    <t>Nhóm chỉnh sửa thêm hàm cleanup dọn dẹp bộ nhớ clearTimeout(handler) trong phần return của useEffect để xóa bộ định thời cũ khi từ khóa thay đổi liên tục.</t>
  </si>
  <si>
    <t>Khi người dùng gõ từ khóa tìm kiếm nhanh, console chỉ ghi nhận đúng 1 request API gửi đi sau 500ms kể từ khi dừng gõ.</t>
  </si>
  <si>
    <t>Prompt #3  (C — Gemini)</t>
  </si>
  <si>
    <t>Tạo custom hook useLocalStorage(key, initialValue) trong React để tự động đồng bộ hóa state của component với localStorage.</t>
  </si>
  <si>
    <t>AI cung cấp đoạn mã đọc/ghi localStorage tự động nhưng không xử lý các trường hợp lỗi dữ liệu JSON.</t>
  </si>
  <si>
    <t>Nhóm chỉnh sửa bọc logic trong khối try-catch để tránh crash app nếu localStorage rỗng hoặc lỗi JSON.parse, đồng thời tối ưu state initializer.</t>
  </si>
  <si>
    <t>Lưu dự án vào wishlist, tải lại trang (F5) thấy danh sách dự án đã lưu giữ nguyên và hiển thị chính xác.</t>
  </si>
  <si>
    <t>Viết `useFetch.js`, refactor codebase tuân thủ Separation of Concerns và Rules of Hooks.</t>
  </si>
  <si>
    <t>Gợi ý mẫu thiết kế Custom Hook chuẩn React 19.</t>
  </si>
  <si>
    <t>(1) AI quên bọc hàm refetch trong useCallback gây lặp vô hạn khi dùng trong useEffect; (2) AI vi phạm Rules of Hooks khi gọi hook bên trong câu lệnh if.</t>
  </si>
  <si>
    <t>Kiểm soát phụ thuộc (dependencies) trong useEffect/useCallback.</t>
  </si>
  <si>
    <t>Luôn bật linter ESLint/Oxlint để phát hiện sớm các vi phạm hook rule.</t>
  </si>
  <si>
    <t>Xây dựng custom hook useDebounce.js và refactor lại trang danh sách dự án ProjectListPage.jsx để tối ưu hóa thanh tìm kiếm.</t>
  </si>
  <si>
    <t>Gợi ý cấu trúc hook useDebounce chuẩn và giải thích cơ chế dọn dẹp (cleanup) bộ định thời trong useEffect.</t>
  </si>
  <si>
    <t>(1) AI ban đầu không trả về hàm dọn dẹp clearTimeout, gây ra hiện tượng rò rỉ bộ nhớ (memory leak) do hàng chục bộ định thời chạy ngầm; (2) AI gợi ý liên kết trực tiếp giá trị debounce với value của ô input khiến giao diện bị giật lag nghiêm trọng khi gõ nhanh.</t>
  </si>
  <si>
    <t>Xử lý đồng bộ giữa state nhập của người dùng (gõ ký tự hiển thị ngay lập tức) và state tìm kiếm đã được debounce.</t>
  </si>
  <si>
    <t>Nghiên cứu thêm giải pháp tối ưu hóa render (useMemo, React.memo) cho các card dự án khi danh sách cập nhật.</t>
  </si>
  <si>
    <t>Viết custom hook useLocalStorage.js và refactor ProjectContext.jsx cùng SavedProjectsPage.jsx để đồng bộ danh sách dự án yêu thích (Wishlist) xuống ổ đĩa cục bộ.</t>
  </si>
  <si>
    <t>Cung cấp khung code đọc/ghi localStorage và cách xử lý đồng bộ state đồng nhất.</t>
  </si>
  <si>
    <t>(1) AI không xử lý trường hợp localStorage bị đầy (QuotaExceededError) hoặc bị trình duyệt chặn do cài đặt quyền riêng tư; (2) AI không sử dụng lazy state initialization làm cho hàm đọc localStorage phải chạy lại ở mọi lượt render gây ảnh hưởng hiệu năng.</t>
  </si>
  <si>
    <t>Đảm bảo đồng bộ hóa dữ liệu wishlist real-time khi người dùng mở ứng dụng trên nhiều tab trình duyệt khác nhau.</t>
  </si>
  <si>
    <t>Áp dụng thêm window event listener 'storage' để tự động cập nhật wishlist khi người dùng thao tác trên tab khác.</t>
  </si>
  <si>
    <t>FER202  |  Week 09  |  FPT University — Điền xong nhớ Ctrl+S để lưu!</t>
  </si>
  <si>
    <t>2026-07-02</t>
  </si>
  <si>
    <t>Cấu hình Redux Toolkit Store &amp; projectSlice quản lý state tập trung</t>
  </si>
  <si>
    <t>src/store/projectSlice.js</t>
  </si>
  <si>
    <t>Migrate Header &amp; Cards sang useSelector/useDispatch</t>
  </si>
  <si>
    <t>Redux DevTools time-travel OK</t>
  </si>
  <si>
    <t>Áp dụng React.lazy + Suspense code splitting theo Route tối ưu bundle size</t>
  </si>
  <si>
    <t>Lazy load các trang admin và chi tiết</t>
  </si>
  <si>
    <t>Kích thước bundle giảm 35%</t>
  </si>
  <si>
    <t>Cấu hình vercel.json và deploy thành công ứng dụng FJMS trực tuyến</t>
  </si>
  <si>
    <t>vercel.json</t>
  </si>
  <si>
    <t>Cấu hình rewrite URL phục vụ SPA không bị lỗi 404</t>
  </si>
  <si>
    <t>Live URL Vercel mượt mượt</t>
  </si>
  <si>
    <t>Cấu hình Redux Toolkit Store &amp; projectSlice quản lý state tập trung nâng cao</t>
  </si>
  <si>
    <t>Tích hợp Provider vào main.jsx</t>
  </si>
  <si>
    <t>Thêm React.lazy và Suspense để chia nhỏ gói tải (code splitting) theo các Route</t>
  </si>
  <si>
    <t>Bọc các route động trong Suspense với loading spinner</t>
  </si>
  <si>
    <t>Tạo tệp cấu hình vercel.json để thiết lập các quy tắc viết lại URL (rewrites) phục vụ Single Page Application</t>
  </si>
  <si>
    <t>Định tuyến tất cả các request về index.html</t>
  </si>
  <si>
    <t>Migrate components Header và Cards sang useSelector/useDispatch</t>
  </si>
  <si>
    <t>Loại bỏ hoàn toàn Context API cho wishlist</t>
  </si>
  <si>
    <t>Cấu hình dynamic prefetching khi người dùng hover vào các link menu điều hướng</t>
  </si>
  <si>
    <t>Nâng cao trải nghiệm người dùng, tải trước chunk file</t>
  </si>
  <si>
    <t>Cấu hình biến môi trường production API URL cho Axios service khi deploy</t>
  </si>
  <si>
    <t>Tách biệt API URL giữa môi trường local và production</t>
  </si>
  <si>
    <t>Sửa lỗi routing 404 khi F5 trang trên Vercel production deployment</t>
  </si>
  <si>
    <t>Đã thêm vercel.json rewrites rule</t>
  </si>
  <si>
    <t>Sửa lỗi nhấp nháy màn hình (layout shift) khi chuyển trang chậm</t>
  </si>
  <si>
    <t>src/components/Loader.jsx</t>
  </si>
  <si>
    <t>Thiết kế màn hình chờ loading cân đối hơn</t>
  </si>
  <si>
    <t>Sửa lỗi 404 Not Found khi tải lại trang (F5) ở các đường dẫn sâu như /projects/1 trên Vercel</t>
  </si>
  <si>
    <t>Cấu hình rewrite source: "/(.*)" destination: "/index.html" chính xác</t>
  </si>
  <si>
    <t>Cấu hình Redux Toolkit Store trong React 19 với projectSlice chứa reducers saveProject và removeSavedProject.</t>
  </si>
  <si>
    <t>AI trả về boilerplate code slice và configureStore của RTK.</t>
  </si>
  <si>
    <t>Nhóm chỉnh sửa tích hợp Provider vào main.jsx và bổ sung Immer immutable state logic.</t>
  </si>
  <si>
    <t>Redux DevTools theo dõi time-travel debugging mượt mà.</t>
  </si>
  <si>
    <t>Làm thế nào để cấu hình Route-based code splitting sử dụng React.lazy và Suspense trong React Router DOM v7?</t>
  </si>
  <si>
    <t>AI trả về cú pháp import động () =&gt; import() kết hợp bọc component trong &lt;Suspense fallback={&lt;Spinner /&gt;}&gt;.</t>
  </si>
  <si>
    <t>Nhóm chỉnh sửa tạo một component Loader/Spinner chuyên dụng, tối ưu thời gian trì hoãn hiển thị để tránh hiện tượng giật màn hình khi mạng nhanh.</t>
  </si>
  <si>
    <t>Kiểm tra tab Network của Chrome DevTools, thấy các file chunk JS tương ứng (ví dụ: ProjectDetailPage) được tải riêng lẻ khi chuyển sang trang đó.</t>
  </si>
  <si>
    <t>Tạo file vercel.json để cấu hình URL rewrite cho ứng dụng Single Page Application viết bằng React Router trên Vercel tránh lỗi 404 khi tải lại trang.</t>
  </si>
  <si>
    <t>AI trả về cú pháp file vercel.json chứa cấu trúc "rewrites": [{"source": "/(.*)", "destination": "/index.html"}].</t>
  </si>
  <si>
    <t>Nhóm chỉnh sửa bổ sung các ngoại lệ loại trừ cho thư mục public tĩnh để tránh ghi đè các file ảnh/logo.</t>
  </si>
  <si>
    <t>Deploy ứng dụng lên Vercel thành công, truy cập các trang con và bấm F5, trang web tải lại bình thường không còn bị lỗi 404.</t>
  </si>
  <si>
    <t>Cấu hình Redux Toolkit Store, migrate state, tạo file `vercel.json` và deploy ứng dụng trực tuyến.</t>
  </si>
  <si>
    <t>Viết nhanh Redux slice boilerplate và file `vercel.json` rewrite.</t>
  </si>
  <si>
    <t>(1) AI gợi ý cú pháp Redux cũ (connect / mapStateToProps) thay vì Redux Toolkit hooks mới; (2) AI thiếu file cấu hình vercel.json gây lỗi 404 khi F5 trên Vercel.</t>
  </si>
  <si>
    <t>Chuyển đổi toàn bộ ứng dụng từ Context API sang Redux mà không làm gián đoạn tính năng.</t>
  </si>
  <si>
    <t>Đóng gói dự án bài bản, tạo bản build tối ưu trước khi đưa lên môi trường sản xuất.</t>
  </si>
  <si>
    <t>Triển khai Lazy Loading cho toàn bộ hệ thống route (Route-based code splitting) và tối ưu hóa trải nghiệm chuyển trang.</t>
  </si>
  <si>
    <t>Hướng dẫn cấu hình Suspense và chia sẻ kỹ thuật prefetch file chunk để giảm thiểu độ trễ giao diện.</t>
  </si>
  <si>
    <t>(1) AI không xử lý trường hợp lỗi tải file chunk (ChunkLoadError) do mất mạng giữa chừng làm ứng dụng bị crash; (2) AI đưa ra cấu hình prefetch không đúng chuẩn React 19 mới nhất làm phát sinh warning trên console.</t>
  </si>
  <si>
    <t>Xử lý lỗi ChunkLoadError khi người dùng mất mạng hoặc server triển khai bản build mới.</t>
  </si>
  <si>
    <t>Sử dụng Error Boundary bọc quanh các component Suspense để hiển thị giao diện báo lỗi thân thiện thay vì crash app.</t>
  </si>
  <si>
    <t>Cấu hình tệp vercel.json, quản lý các biến môi trường và tiến hành deploy ứng dụng lên Vercel.</t>
  </si>
  <si>
    <t>Cung cấp cú pháp tệp vercel.json chuẩn và hướng dẫn cách thiết lập biến môi trường trên dashboard Vercel.</t>
  </si>
  <si>
    <t>(1) AI gợi ý cấu hình rewrites đè lên cả các request API bên thứ ba; (2) AI không cảnh báo về việc cache dữ liệu API tĩnh trên CDN của Vercel khiến cho danh sách dự án không cập nhật dữ liệu mới khi thay đổi trên json-server.</t>
  </si>
  <si>
    <t>Kiểm thử quá trình deploy tự động thông qua GitHub Integration của Vercel và sửa lỗi build fail do linter cảnh báo.</t>
  </si>
  <si>
    <t>Thiết lập script build tối ưu hơn và thiết lập hệ thống CI/CD để tự động chạy test trước khi deploy.</t>
  </si>
  <si>
    <t>FER202  |  Week 10  |  FPT University — Điền xong nhớ Ctrl+S để lưu!</t>
  </si>
  <si>
    <t>SUMMARY — Tổng hợp cả học kỳ</t>
  </si>
  <si>
    <t>📊  Tổng số lần dùng AI theo tuần &amp; thành viên (tự động đếm từ các sheet Week)</t>
  </si>
  <si>
    <t>Tuần</t>
  </si>
  <si>
    <t>TV-A</t>
  </si>
  <si>
    <t>TV-B</t>
  </si>
  <si>
    <t>TV-C</t>
  </si>
  <si>
    <t>TV-D</t>
  </si>
  <si>
    <t>TV-E</t>
  </si>
  <si>
    <t>Tổng</t>
  </si>
  <si>
    <t>Week 01</t>
  </si>
  <si>
    <t>Week 02</t>
  </si>
  <si>
    <t>Week 03</t>
  </si>
  <si>
    <t>Week 04</t>
  </si>
  <si>
    <t>Week 05</t>
  </si>
  <si>
    <t>Week 06</t>
  </si>
  <si>
    <t>Week 07</t>
  </si>
  <si>
    <t>Week 08</t>
  </si>
  <si>
    <t>Week 09</t>
  </si>
  <si>
    <t>Week 10</t>
  </si>
  <si>
    <t>TỔNG</t>
  </si>
  <si>
    <t>📝  Nhận xét tổng kết học kỳ của nhóm</t>
  </si>
  <si>
    <t>Gemini (Google) được sử dụng xuyên suốt dự án để hỗ trợ code boilerplate và debug.</t>
  </si>
  <si>
    <t>Tuần 9 và 10. Nhóm sử dụng AI để viết nhanh custom hooks và cấu hình Redux Toolkit, giúp đẩy nhanh tiến độ hoàn thành.</t>
  </si>
  <si>
    <t>AI thường gợi ý cú pháp cũ hoặc thiếu tối ưu hóa (như thiếu dependency array trong useEffect, thiếu cleanup functions).</t>
  </si>
  <si>
    <t>Cần hiểu rõ bản chất code trước khi sử dụng gợi ý từ AI, luôn kiểm tra kỹ lưỡng và viết test case để kiểm chứng.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</si>
</sst>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x14ac:knownFonts="1">
    <font>
      <color theme="1"/>
      <family val="2"/>
      <scheme val="minor"/>
      <sz val="11"/>
      <name val="Calibri"/>
    </font>
    <font>
      <b/>
      <charset val="1"/>
      <color rgb="FFFFFFFF"/>
      <sz val="16"/>
      <name val="Arial"/>
    </font>
    <font>
      <charset val="1"/>
      <color theme="1"/>
      <family val="2"/>
      <sz val="11"/>
      <name val="Calibri"/>
    </font>
    <font>
      <i/>
      <charset val="1"/>
      <color rgb="FFFFFFFF"/>
      <sz val="11"/>
      <name val="Arial"/>
    </font>
    <font>
      <b/>
      <charset val="1"/>
      <color rgb="FFFFFFFF"/>
      <sz val="11"/>
      <name val="Arial"/>
    </font>
    <font>
      <charset val="1"/>
      <color rgb="FF000000"/>
      <sz val="10"/>
      <name val="Arial"/>
    </font>
    <font>
      <b/>
      <charset val="1"/>
      <color rgb="FFFFFFFF"/>
      <sz val="15"/>
      <name val="Arial"/>
    </font>
    <font>
      <b/>
      <charset val="1"/>
      <color rgb="FF000000"/>
      <sz val="10"/>
      <name val="Arial"/>
    </font>
    <font>
      <u/>
      <charset val="1"/>
      <color theme="10"/>
      <family val="2"/>
      <sz val="11"/>
      <name val="Calibri"/>
    </font>
    <font>
      <b/>
      <charset val="1"/>
      <color rgb="FFFFFFFF"/>
      <sz val="14"/>
      <name val="Arial"/>
    </font>
    <font>
      <i/>
      <charset val="1"/>
      <color rgb="FF808080"/>
      <sz val="9"/>
      <name val="Arial"/>
    </font>
    <font>
      <color rgb="FF000000"/>
      <family val="2"/>
      <sz val="10"/>
      <name val="Arial"/>
    </font>
    <font>
      <b/>
      <i/>
      <charset val="1"/>
      <color rgb="FF000000"/>
      <sz val="10"/>
      <name val="Arial"/>
    </font>
    <font>
      <b/>
      <color rgb="FF000000"/>
      <family val="2"/>
      <sz val="10"/>
      <name val="Arial"/>
    </font>
    <font>
      <i/>
      <color rgb="FF808080"/>
      <family val="2"/>
      <sz val="9"/>
      <name val="Arial"/>
    </font>
    <font>
      <i/>
      <charset val="1"/>
      <color rgb="FFFFFFFF"/>
      <sz val="9"/>
      <name val="Arial"/>
    </font>
    <font>
      <b/>
      <color theme="1"/>
      <family val="1"/>
      <scheme val="major"/>
      <sz val="8"/>
      <name val="Cambria"/>
    </font>
    <font>
      <color rgb="FFCCCCCC"/>
      <family val="2"/>
      <sz val="8"/>
      <name val="Segoe UI"/>
    </font>
    <font>
      <b/>
      <i/>
      <color rgb="FF000000"/>
      <family val="2"/>
      <sz val="10"/>
      <name val="Arial"/>
    </font>
    <font>
      <b/>
      <charset val="1"/>
      <color rgb="FF000000"/>
      <family val="2"/>
      <sz val="10"/>
      <name val="Arial"/>
    </font>
  </fonts>
  <fills count="12">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top/>
      <bottom/>
      <diagonal/>
    </border>
  </borders>
  <cellStyleXfs count="1">
    <xf numFmtId="0" fontId="0" fillId="0" borderId="0"/>
  </cellStyleXfs>
  <cellXfs count="42">
    <xf numFmtId="0" fontId="0" fillId="0" borderId="0" xfId="0"/>
    <xf numFmtId="0" fontId="1" fillId="2" borderId="1" xfId="0" applyFont="1" applyFill="1" applyBorder="1" applyAlignment="1">
      <alignment horizontal="center" vertical="center" wrapText="1"/>
    </xf>
    <xf numFmtId="0" fontId="2" fillId="0" borderId="2" xfId="0" applyFont="1" applyBorder="1"/>
    <xf numFmtId="0" fontId="3" fillId="2"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5"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2" borderId="1" xfId="0" applyFont="1" applyFill="1" applyBorder="1" applyAlignment="1">
      <alignment horizontal="center" vertical="center" wrapText="1"/>
    </xf>
    <xf numFmtId="0" fontId="2" fillId="0" borderId="3" xfId="0" applyFont="1" applyBorder="1"/>
    <xf numFmtId="0" fontId="7" fillId="0" borderId="4" xfId="0" applyFont="1" applyBorder="1" applyAlignment="1">
      <alignment horizontal="left" vertical="center" wrapText="1"/>
    </xf>
    <xf numFmtId="0" fontId="7" fillId="6"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left" vertical="center" wrapText="1"/>
    </xf>
    <xf numFmtId="0" fontId="7" fillId="0" borderId="1" xfId="0" applyFont="1" applyBorder="1" applyAlignment="1">
      <alignment horizontal="left" vertical="center" wrapText="1"/>
    </xf>
    <xf numFmtId="0" fontId="8" fillId="0" borderId="4" xfId="0" applyFont="1" applyBorder="1" applyAlignment="1">
      <alignment horizontal="left" vertical="center" wrapText="1"/>
    </xf>
    <xf numFmtId="0" fontId="7" fillId="0" borderId="3" xfId="0" applyFont="1" applyBorder="1" applyAlignment="1">
      <alignment horizontal="left" vertical="center" wrapText="1"/>
    </xf>
    <xf numFmtId="0" fontId="9" fillId="2" borderId="1" xfId="0" applyFont="1" applyFill="1" applyBorder="1" applyAlignment="1">
      <alignment horizontal="center" vertical="center" wrapText="1"/>
    </xf>
    <xf numFmtId="0" fontId="10" fillId="0" borderId="0" xfId="0" applyFont="1" applyAlignment="1">
      <alignment horizontal="center" vertical="center" wrapText="1"/>
    </xf>
    <xf numFmtId="0" fontId="2" fillId="0" borderId="0" xfId="0" applyFont="1"/>
    <xf numFmtId="0" fontId="10" fillId="0" borderId="0" xfId="0" applyFont="1" applyAlignment="1">
      <alignment horizontal="left" vertical="center" wrapText="1"/>
    </xf>
    <xf numFmtId="0" fontId="11" fillId="0" borderId="1" xfId="0" applyFont="1" applyBorder="1" applyAlignment="1">
      <alignment horizontal="left" vertical="center" wrapText="1"/>
    </xf>
    <xf numFmtId="14" fontId="5" fillId="0" borderId="1" xfId="0" applyNumberFormat="1" applyFont="1" applyBorder="1" applyAlignment="1">
      <alignment horizontal="left" vertical="center" wrapText="1"/>
    </xf>
    <xf numFmtId="0" fontId="7" fillId="7" borderId="1" xfId="0" applyFont="1" applyFill="1" applyBorder="1" applyAlignment="1">
      <alignment horizontal="center" vertical="center" wrapText="1"/>
    </xf>
    <xf numFmtId="0" fontId="12" fillId="8" borderId="1" xfId="0" applyFont="1" applyFill="1" applyBorder="1" applyAlignment="1">
      <alignment horizontal="left" vertical="center" wrapText="1"/>
    </xf>
    <xf numFmtId="0" fontId="7" fillId="9"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10" fillId="0" borderId="1" xfId="0" applyFont="1" applyBorder="1" applyAlignment="1">
      <alignment horizontal="left" vertical="center" wrapText="1"/>
    </xf>
    <xf numFmtId="0" fontId="13" fillId="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10" fillId="0" borderId="5" xfId="0" applyFont="1" applyBorder="1" applyAlignment="1">
      <alignment horizontal="left" vertical="center" wrapText="1"/>
    </xf>
    <xf numFmtId="0" fontId="14" fillId="0" borderId="5" xfId="0" applyFont="1" applyBorder="1" applyAlignment="1">
      <alignment horizontal="left" vertical="center" wrapText="1"/>
    </xf>
    <xf numFmtId="0" fontId="15" fillId="2" borderId="1" xfId="0" applyFont="1" applyFill="1" applyBorder="1" applyAlignment="1">
      <alignment horizontal="center" vertical="center" wrapText="1"/>
    </xf>
    <xf numFmtId="0" fontId="8" fillId="0" borderId="0" xfId="0" applyFont="1"/>
    <xf numFmtId="0" fontId="16" fillId="0" borderId="0" xfId="0" applyFont="1"/>
    <xf numFmtId="0" fontId="17" fillId="0" borderId="0" xfId="0" applyFont="1"/>
    <xf numFmtId="0" fontId="14" fillId="0" borderId="1" xfId="0" applyFont="1" applyBorder="1" applyAlignment="1">
      <alignment horizontal="left" vertical="center" wrapText="1"/>
    </xf>
    <xf numFmtId="0" fontId="18" fillId="8"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19" fillId="0" borderId="4"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mailto:benphilip11234@gmail.com" TargetMode="External"/><Relationship Id="rId2" Type="http://schemas.openxmlformats.org/officeDocument/2006/relationships/hyperlink" Target="mailto:vietnamnhungchuyendi@gmail.com" TargetMode="External"/><Relationship Id="rId3" Type="http://schemas.openxmlformats.org/officeDocument/2006/relationships/hyperlink" Target="mailto:Thoakieu309@gmail.com" TargetMode="External"/><Relationship Id="rId4" Type="http://schemas.openxmlformats.org/officeDocument/2006/relationships/hyperlink" Target="https://github.com/SUMMER2026SE/swp391-rbl-project-team_7-1.g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stitch.withgoogle.com/projects/12993772099176633908?pli=1" TargetMode="External"/><Relationship Id="rId2" Type="http://schemas.openxmlformats.org/officeDocument/2006/relationships/hyperlink" Target="https://stitch.withgoogle.com/projects/12993772099176633908?pli=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C25"/>
  <sheetViews>
    <sheetView workbookViewId="0" showGridLines="0" zoomScale="100" zoomScaleNormal="100"/>
  </sheetViews>
  <sheetFormatPr defaultRowHeight="14.4" outlineLevelRow="0" outlineLevelCol="0" x14ac:dyDescent="0.3" defaultColWidth="8.5546875" customHeight="1"/>
  <cols>
    <col min="1" max="1" width="3" customWidth="1"/>
    <col min="2" max="2" width="28" customWidth="1"/>
    <col min="3" max="3" width="84.44140625" customWidth="1"/>
  </cols>
  <sheetData>
    <row r="1" ht="13.5" customHeight="1" x14ac:dyDescent="0.25"/>
    <row r="2" ht="36" customHeight="1" spans="2:3" x14ac:dyDescent="0.25">
      <c r="B2" s="1" t="s">
        <v>0</v>
      </c>
      <c r="C2" s="2"/>
    </row>
    <row r="3" ht="18" customHeight="1" spans="2:3" x14ac:dyDescent="0.25">
      <c r="B3" s="3" t="s">
        <v>1</v>
      </c>
      <c r="C3" s="2"/>
    </row>
    <row r="5" ht="19.5" customHeight="1" spans="2:3" x14ac:dyDescent="0.25">
      <c r="B5" s="4" t="s">
        <v>2</v>
      </c>
      <c r="C5" s="2"/>
    </row>
    <row r="6" ht="24.75" customHeight="1" spans="2:3" x14ac:dyDescent="0.25">
      <c r="B6" s="5" t="s">
        <v>3</v>
      </c>
      <c r="C6" s="5" t="s">
        <v>4</v>
      </c>
    </row>
    <row r="7" ht="24.75" customHeight="1" spans="2:3" x14ac:dyDescent="0.25">
      <c r="B7" s="5" t="s">
        <v>5</v>
      </c>
      <c r="C7" s="5" t="s">
        <v>6</v>
      </c>
    </row>
    <row r="8" ht="18" customHeight="1" spans="2:3" x14ac:dyDescent="0.25">
      <c r="B8" s="5" t="s">
        <v>7</v>
      </c>
      <c r="C8" s="5" t="s">
        <v>8</v>
      </c>
    </row>
    <row r="10" ht="19.5" customHeight="1" spans="2:3" x14ac:dyDescent="0.25">
      <c r="B10" s="6" t="s">
        <v>9</v>
      </c>
      <c r="C10" s="2"/>
    </row>
    <row r="11" spans="2:3" x14ac:dyDescent="0.25">
      <c r="B11" s="5" t="s">
        <v>10</v>
      </c>
      <c r="C11" s="5" t="s">
        <v>11</v>
      </c>
    </row>
    <row r="12" spans="2:3" x14ac:dyDescent="0.25">
      <c r="B12" s="5" t="s">
        <v>12</v>
      </c>
      <c r="C12" s="5" t="s">
        <v>13</v>
      </c>
    </row>
    <row r="13" ht="18" customHeight="1" spans="2:3" x14ac:dyDescent="0.25">
      <c r="B13" s="5" t="s">
        <v>14</v>
      </c>
      <c r="C13" s="5" t="s">
        <v>15</v>
      </c>
    </row>
    <row r="15" ht="19.5" customHeight="1" spans="2:3" x14ac:dyDescent="0.25">
      <c r="B15" s="7" t="s">
        <v>16</v>
      </c>
      <c r="C15" s="2"/>
    </row>
    <row r="16" ht="24.75" customHeight="1" spans="2:3" x14ac:dyDescent="0.25">
      <c r="B16" s="5" t="s">
        <v>17</v>
      </c>
      <c r="C16" s="5" t="s">
        <v>18</v>
      </c>
    </row>
    <row r="17" ht="24.75" customHeight="1" spans="2:3" x14ac:dyDescent="0.25">
      <c r="B17" s="5" t="s">
        <v>19</v>
      </c>
      <c r="C17" s="5" t="s">
        <v>20</v>
      </c>
    </row>
    <row r="18" ht="24.75" customHeight="1" spans="2:3" x14ac:dyDescent="0.25">
      <c r="B18" s="5" t="s">
        <v>21</v>
      </c>
      <c r="C18" s="5" t="s">
        <v>22</v>
      </c>
    </row>
    <row r="19" ht="24.75" customHeight="1" spans="2:3" x14ac:dyDescent="0.25">
      <c r="B19" s="5" t="s">
        <v>23</v>
      </c>
      <c r="C19" s="5" t="s">
        <v>24</v>
      </c>
    </row>
    <row r="21" ht="19.5" customHeight="1" spans="2:3" x14ac:dyDescent="0.25">
      <c r="B21" s="8" t="s">
        <v>25</v>
      </c>
      <c r="C21" s="2"/>
    </row>
    <row r="22" spans="2:3" x14ac:dyDescent="0.25">
      <c r="B22" s="5" t="s">
        <v>26</v>
      </c>
      <c r="C22" s="5" t="s">
        <v>27</v>
      </c>
    </row>
    <row r="23" ht="24.75" customHeight="1" spans="2:3" x14ac:dyDescent="0.25">
      <c r="B23" s="5" t="s">
        <v>28</v>
      </c>
      <c r="C23" s="5" t="s">
        <v>29</v>
      </c>
    </row>
    <row r="24" ht="18" customHeight="1" spans="2:3" x14ac:dyDescent="0.25">
      <c r="B24" s="5" t="s">
        <v>30</v>
      </c>
      <c r="C24" s="5" t="s">
        <v>31</v>
      </c>
    </row>
    <row r="25" ht="18" customHeight="1" spans="2:3" x14ac:dyDescent="0.25">
      <c r="B25" s="5" t="s">
        <v>32</v>
      </c>
      <c r="C25" s="5" t="s">
        <v>33</v>
      </c>
    </row>
  </sheetData>
  <mergeCells count="6">
    <mergeCell ref="B2:C2"/>
    <mergeCell ref="B3:C3"/>
    <mergeCell ref="B5:C5"/>
    <mergeCell ref="B10:C10"/>
    <mergeCell ref="B15:C15"/>
    <mergeCell ref="B21:C21"/>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G24"/>
  <sheetViews>
    <sheetView workbookViewId="0" showGridLines="0" zoomScale="100" zoomScaleNormal="100">
      <selection activeCell="H28" sqref="H28"/>
    </sheetView>
  </sheetViews>
  <sheetFormatPr defaultRowHeight="14.4" outlineLevelRow="0" outlineLevelCol="0" x14ac:dyDescent="0.3" defaultColWidth="8.5546875" customHeight="1"/>
  <cols>
    <col min="1" max="1" width="3" customWidth="1"/>
    <col min="2" max="2" width="24" customWidth="1"/>
    <col min="3" max="3" width="32.88671875" customWidth="1"/>
    <col min="4" max="4" width="18" customWidth="1"/>
    <col min="5" max="5" width="33.44140625" customWidth="1"/>
    <col min="6" max="6" width="18" customWidth="1"/>
    <col min="7" max="7" width="20" customWidth="1"/>
  </cols>
  <sheetData>
    <row r="1" ht="13.5" customHeight="1" x14ac:dyDescent="0.25"/>
    <row r="2" ht="36" customHeight="1" spans="2:7" x14ac:dyDescent="0.25">
      <c r="B2" s="9" t="s">
        <v>34</v>
      </c>
      <c r="C2" s="10"/>
      <c r="D2" s="10"/>
      <c r="E2" s="10"/>
      <c r="F2" s="10"/>
      <c r="G2" s="2"/>
    </row>
    <row r="3" ht="19.5" customHeight="1" spans="2:7" x14ac:dyDescent="0.25">
      <c r="B3" s="6" t="s">
        <v>35</v>
      </c>
      <c r="C3" s="10"/>
      <c r="D3" s="10"/>
      <c r="E3" s="10"/>
      <c r="F3" s="10"/>
      <c r="G3" s="2"/>
    </row>
    <row r="4" ht="18" customHeight="1" spans="2:7" x14ac:dyDescent="0.25">
      <c r="B4" s="11" t="s">
        <v>36</v>
      </c>
      <c r="C4" s="11" t="s">
        <v>37</v>
      </c>
      <c r="D4" s="10"/>
      <c r="E4" s="10"/>
      <c r="F4" s="10"/>
      <c r="G4" s="10"/>
    </row>
    <row r="5" ht="18" customHeight="1" spans="2:7" x14ac:dyDescent="0.25">
      <c r="B5" s="11" t="s">
        <v>38</v>
      </c>
      <c r="C5" s="11" t="s">
        <v>39</v>
      </c>
      <c r="D5" s="10"/>
      <c r="E5" s="10"/>
      <c r="F5" s="10"/>
      <c r="G5" s="10"/>
    </row>
    <row r="6" ht="18" customHeight="1" spans="2:7" x14ac:dyDescent="0.25">
      <c r="B6" s="11" t="s">
        <v>40</v>
      </c>
      <c r="C6" s="11" t="s">
        <v>41</v>
      </c>
      <c r="D6" s="10"/>
      <c r="E6" s="10"/>
      <c r="F6" s="10"/>
      <c r="G6" s="10"/>
    </row>
    <row r="7" ht="18" customHeight="1" spans="2:7" x14ac:dyDescent="0.25">
      <c r="B7" s="11" t="s">
        <v>42</v>
      </c>
      <c r="C7" s="11" t="s">
        <v>43</v>
      </c>
      <c r="D7" s="10"/>
      <c r="E7" s="10"/>
      <c r="F7" s="10"/>
      <c r="G7" s="10"/>
    </row>
    <row r="8" ht="18" customHeight="1" spans="2:7" x14ac:dyDescent="0.25">
      <c r="B8" s="11" t="s">
        <v>44</v>
      </c>
      <c r="C8" s="11">
        <v>3</v>
      </c>
      <c r="D8" s="10"/>
      <c r="E8" s="10"/>
      <c r="F8" s="10"/>
      <c r="G8" s="10"/>
    </row>
    <row r="10" ht="19.5" customHeight="1" spans="2:7" x14ac:dyDescent="0.25">
      <c r="B10" s="6" t="s">
        <v>45</v>
      </c>
      <c r="C10" s="10"/>
      <c r="D10" s="10"/>
      <c r="E10" s="10"/>
      <c r="F10" s="10"/>
      <c r="G10" s="2"/>
    </row>
    <row r="11" spans="2:7" x14ac:dyDescent="0.25">
      <c r="B11" s="12" t="s">
        <v>46</v>
      </c>
      <c r="C11" s="12" t="s">
        <v>47</v>
      </c>
      <c r="D11" s="12" t="s">
        <v>48</v>
      </c>
      <c r="E11" s="12" t="s">
        <v>49</v>
      </c>
      <c r="F11" s="12" t="s">
        <v>50</v>
      </c>
      <c r="G11" s="12" t="s">
        <v>51</v>
      </c>
    </row>
    <row r="12" ht="18" customHeight="1" spans="2:7" x14ac:dyDescent="0.25">
      <c r="B12" s="13" t="s">
        <v>52</v>
      </c>
      <c r="C12" s="5" t="s">
        <v>53</v>
      </c>
      <c r="D12" s="5" t="s">
        <v>54</v>
      </c>
      <c r="E12" s="14" t="s">
        <v>55</v>
      </c>
      <c r="F12" s="5" t="s">
        <v>56</v>
      </c>
      <c r="G12" s="5"/>
    </row>
    <row r="13" ht="18" customHeight="1" spans="2:7" x14ac:dyDescent="0.25">
      <c r="B13" s="13" t="s">
        <v>57</v>
      </c>
      <c r="C13" s="5" t="s">
        <v>58</v>
      </c>
      <c r="D13" s="5" t="s">
        <v>59</v>
      </c>
      <c r="E13" s="14" t="s">
        <v>60</v>
      </c>
      <c r="F13" s="5" t="s">
        <v>61</v>
      </c>
      <c r="G13" s="5"/>
    </row>
    <row r="14" ht="18" customHeight="1" spans="2:7" x14ac:dyDescent="0.25">
      <c r="B14" s="13" t="s">
        <v>62</v>
      </c>
      <c r="C14" s="5" t="s">
        <v>63</v>
      </c>
      <c r="D14" s="5" t="s">
        <v>64</v>
      </c>
      <c r="E14" s="14" t="s">
        <v>65</v>
      </c>
      <c r="F14" s="5" t="s">
        <v>61</v>
      </c>
      <c r="G14" s="5"/>
    </row>
    <row r="15" ht="18" customHeight="1" spans="2:7" x14ac:dyDescent="0.25">
      <c r="B15" s="13" t="s">
        <v>66</v>
      </c>
      <c r="C15" s="5"/>
      <c r="D15" s="5"/>
      <c r="E15" s="5"/>
      <c r="F15" s="5" t="s">
        <v>61</v>
      </c>
      <c r="G15" s="5"/>
    </row>
    <row r="16" ht="18" customHeight="1" spans="2:7" x14ac:dyDescent="0.25">
      <c r="B16" s="13" t="s">
        <v>67</v>
      </c>
      <c r="C16" s="5"/>
      <c r="D16" s="5"/>
      <c r="E16" s="5"/>
      <c r="F16" s="5" t="s">
        <v>61</v>
      </c>
      <c r="G16" s="5"/>
    </row>
    <row r="18" ht="19.5" customHeight="1" spans="2:7" x14ac:dyDescent="0.25">
      <c r="B18" s="8" t="s">
        <v>68</v>
      </c>
      <c r="C18" s="10"/>
      <c r="D18" s="10"/>
      <c r="E18" s="10"/>
      <c r="F18" s="10"/>
      <c r="G18" s="2"/>
    </row>
    <row r="19" ht="19.5" customHeight="1" spans="2:7" x14ac:dyDescent="0.25">
      <c r="B19" s="15" t="s">
        <v>69</v>
      </c>
      <c r="C19" s="11" t="s">
        <v>70</v>
      </c>
      <c r="D19" s="10"/>
      <c r="E19" s="10"/>
      <c r="F19" s="10"/>
      <c r="G19" s="10"/>
    </row>
    <row r="20" ht="57" customHeight="1" spans="2:7" x14ac:dyDescent="0.25">
      <c r="B20" s="15" t="s">
        <v>71</v>
      </c>
      <c r="C20" s="11" t="s">
        <v>72</v>
      </c>
      <c r="D20" s="10"/>
      <c r="E20" s="10"/>
      <c r="F20" s="10"/>
      <c r="G20" s="10"/>
    </row>
    <row r="21" ht="65.25" customHeight="1" spans="2:7" x14ac:dyDescent="0.25">
      <c r="B21" s="15" t="s">
        <v>73</v>
      </c>
      <c r="C21" s="11" t="s">
        <v>74</v>
      </c>
      <c r="D21" s="10"/>
      <c r="E21" s="10"/>
      <c r="F21" s="10"/>
      <c r="G21" s="10"/>
    </row>
    <row r="22" ht="19.5" customHeight="1" spans="2:7" x14ac:dyDescent="0.25">
      <c r="B22" s="15" t="s">
        <v>75</v>
      </c>
      <c r="C22" s="16" t="s">
        <v>76</v>
      </c>
      <c r="D22" s="10"/>
      <c r="E22" s="10"/>
      <c r="F22" s="10"/>
      <c r="G22" s="10"/>
    </row>
    <row r="23" ht="19.5" customHeight="1" spans="2:7" x14ac:dyDescent="0.25">
      <c r="B23" s="15" t="s">
        <v>77</v>
      </c>
      <c r="C23" s="11"/>
      <c r="D23" s="17"/>
      <c r="E23" s="17"/>
      <c r="F23" s="17"/>
      <c r="G23" s="17"/>
    </row>
    <row r="24" ht="19.5" customHeight="1" spans="2:7" x14ac:dyDescent="0.25">
      <c r="B24" s="15" t="s">
        <v>78</v>
      </c>
      <c r="C24" s="11"/>
      <c r="D24" s="10"/>
      <c r="E24" s="10"/>
      <c r="F24" s="10"/>
      <c r="G24" s="10"/>
    </row>
  </sheetData>
  <mergeCells count="14">
    <mergeCell ref="B2:G2"/>
    <mergeCell ref="B3:G3"/>
    <mergeCell ref="C4:G4"/>
    <mergeCell ref="C5:G5"/>
    <mergeCell ref="C6:G6"/>
    <mergeCell ref="C7:G7"/>
    <mergeCell ref="C8:G8"/>
    <mergeCell ref="B10:G10"/>
    <mergeCell ref="B18:G18"/>
    <mergeCell ref="C19:G19"/>
    <mergeCell ref="C20:G20"/>
    <mergeCell ref="C21:G21"/>
    <mergeCell ref="C22:G22"/>
    <mergeCell ref="C24:G24"/>
  </mergeCells>
  <hyperlinks>
    <hyperlink ref="E12" r:id="rId1"/>
    <hyperlink ref="E13" r:id="rId2"/>
    <hyperlink ref="E14" r:id="rId3"/>
    <hyperlink ref="C22" r:id="rId4"/>
  </hyperlink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workbookViewId="0" showGridLines="0" zoomScale="100" zoomScaleNormal="100">
      <selection activeCell="E111" sqref="E111"/>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2:9" x14ac:dyDescent="0.25">
      <c r="B2" s="18" t="s">
        <v>79</v>
      </c>
      <c r="C2" s="10"/>
      <c r="D2" s="10"/>
      <c r="E2" s="10"/>
      <c r="F2" s="10"/>
      <c r="G2" s="10"/>
      <c r="H2" s="10"/>
      <c r="I2" s="2"/>
    </row>
    <row r="3" ht="15.75" customHeight="1" spans="2:9" x14ac:dyDescent="0.25">
      <c r="B3" s="19" t="s">
        <v>80</v>
      </c>
      <c r="C3" s="20"/>
      <c r="D3" s="20"/>
      <c r="E3" s="20"/>
      <c r="F3" s="20"/>
      <c r="G3" s="20"/>
      <c r="H3" s="20"/>
      <c r="I3" s="20"/>
    </row>
    <row r="5" ht="21.75" customHeight="1" spans="2:9" x14ac:dyDescent="0.25">
      <c r="B5" s="6" t="s">
        <v>81</v>
      </c>
      <c r="C5" s="10"/>
      <c r="D5" s="10"/>
      <c r="E5" s="10"/>
      <c r="F5" s="10"/>
      <c r="G5" s="10"/>
      <c r="H5" s="10"/>
      <c r="I5" s="2"/>
    </row>
    <row r="6" ht="13.5" customHeight="1" spans="2:9" x14ac:dyDescent="0.25">
      <c r="B6" s="21" t="s">
        <v>82</v>
      </c>
      <c r="C6" s="20"/>
      <c r="D6" s="20"/>
      <c r="E6" s="20"/>
      <c r="F6" s="20"/>
      <c r="G6" s="20"/>
      <c r="H6" s="20"/>
      <c r="I6" s="20"/>
    </row>
    <row r="7" ht="19.5" customHeight="1" spans="2:9" x14ac:dyDescent="0.25">
      <c r="B7" s="12" t="s">
        <v>83</v>
      </c>
      <c r="C7" s="12" t="s">
        <v>84</v>
      </c>
      <c r="D7" s="12" t="s">
        <v>85</v>
      </c>
      <c r="E7" s="12" t="s">
        <v>86</v>
      </c>
      <c r="F7" s="12" t="s">
        <v>87</v>
      </c>
      <c r="G7" s="12" t="s">
        <v>88</v>
      </c>
      <c r="H7" s="12" t="s">
        <v>89</v>
      </c>
      <c r="I7" s="12" t="s">
        <v>90</v>
      </c>
    </row>
    <row r="8" ht="18" customHeight="1" spans="2:9" x14ac:dyDescent="0.25">
      <c r="B8" s="5" t="s">
        <v>91</v>
      </c>
      <c r="C8" s="5" t="s">
        <v>52</v>
      </c>
      <c r="D8" s="22" t="s">
        <v>92</v>
      </c>
      <c r="E8" s="5" t="s">
        <v>93</v>
      </c>
      <c r="F8" s="5" t="s">
        <v>94</v>
      </c>
      <c r="G8" s="5" t="s">
        <v>95</v>
      </c>
      <c r="H8" s="5" t="s">
        <v>96</v>
      </c>
      <c r="I8" s="5" t="s">
        <v>97</v>
      </c>
    </row>
    <row r="9" ht="18" customHeight="1" spans="2:9" x14ac:dyDescent="0.25">
      <c r="B9" s="5" t="s">
        <v>91</v>
      </c>
      <c r="C9" s="5" t="s">
        <v>52</v>
      </c>
      <c r="D9" s="22" t="s">
        <v>92</v>
      </c>
      <c r="E9" s="5" t="s">
        <v>98</v>
      </c>
      <c r="F9" s="5" t="s">
        <v>99</v>
      </c>
      <c r="G9" s="5" t="s">
        <v>100</v>
      </c>
      <c r="H9" s="5" t="s">
        <v>101</v>
      </c>
      <c r="I9" s="5" t="s">
        <v>102</v>
      </c>
    </row>
    <row r="10" ht="18" customHeight="1" spans="2:9" x14ac:dyDescent="0.25">
      <c r="B10" s="23">
        <v>46196</v>
      </c>
      <c r="C10" s="5" t="s">
        <v>52</v>
      </c>
      <c r="D10" s="22" t="s">
        <v>103</v>
      </c>
      <c r="E10" s="5" t="s">
        <v>104</v>
      </c>
      <c r="F10" s="5" t="s">
        <v>105</v>
      </c>
      <c r="G10" s="5" t="s">
        <v>100</v>
      </c>
      <c r="H10" s="5" t="s">
        <v>106</v>
      </c>
      <c r="I10" s="5" t="s">
        <v>107</v>
      </c>
    </row>
    <row r="11" ht="18" customHeight="1" spans="2:9" x14ac:dyDescent="0.25">
      <c r="B11" s="23">
        <v>46196</v>
      </c>
      <c r="C11" s="22" t="s">
        <v>57</v>
      </c>
      <c r="D11" s="22" t="s">
        <v>103</v>
      </c>
      <c r="E11" t="s">
        <v>108</v>
      </c>
      <c r="F11" s="22" t="s">
        <v>109</v>
      </c>
      <c r="G11" t="s">
        <v>95</v>
      </c>
      <c r="H11" s="22" t="s">
        <v>110</v>
      </c>
      <c r="I11" s="5" t="s">
        <v>111</v>
      </c>
    </row>
    <row r="12" ht="18" customHeight="1" spans="2:9" x14ac:dyDescent="0.25">
      <c r="B12" s="23">
        <v>46196</v>
      </c>
      <c r="C12" s="5" t="s">
        <v>62</v>
      </c>
      <c r="D12" s="5" t="s">
        <v>92</v>
      </c>
      <c r="E12" s="5" t="s">
        <v>112</v>
      </c>
      <c r="F12" s="5" t="s">
        <v>113</v>
      </c>
      <c r="G12" s="5" t="s">
        <v>95</v>
      </c>
      <c r="H12" s="5" t="s">
        <v>114</v>
      </c>
      <c r="I12" s="5" t="s">
        <v>115</v>
      </c>
    </row>
    <row r="13" ht="18" customHeight="1" spans="2:9" x14ac:dyDescent="0.25">
      <c r="B13" s="23">
        <v>46196</v>
      </c>
      <c r="C13" s="5" t="s">
        <v>62</v>
      </c>
      <c r="D13" s="5" t="s">
        <v>92</v>
      </c>
      <c r="E13" s="5" t="s">
        <v>116</v>
      </c>
      <c r="F13" s="5" t="s">
        <v>117</v>
      </c>
      <c r="G13" s="5" t="s">
        <v>95</v>
      </c>
      <c r="H13" s="5" t="s">
        <v>118</v>
      </c>
      <c r="I13" s="5" t="s">
        <v>111</v>
      </c>
    </row>
    <row r="14" ht="18" customHeight="1" spans="2:9" x14ac:dyDescent="0.25">
      <c r="B14" s="23">
        <v>46196</v>
      </c>
      <c r="C14" s="5" t="s">
        <v>62</v>
      </c>
      <c r="D14" s="5" t="s">
        <v>92</v>
      </c>
      <c r="E14" s="5" t="s">
        <v>119</v>
      </c>
      <c r="F14" s="5" t="s">
        <v>120</v>
      </c>
      <c r="G14" s="5" t="s">
        <v>95</v>
      </c>
      <c r="H14" s="5" t="s">
        <v>121</v>
      </c>
      <c r="I14" s="5" t="s">
        <v>122</v>
      </c>
    </row>
    <row r="15" ht="18" customHeight="1" spans="2:9" x14ac:dyDescent="0.25">
      <c r="B15" s="23">
        <v>46196</v>
      </c>
      <c r="C15" s="5" t="s">
        <v>62</v>
      </c>
      <c r="D15" s="5" t="s">
        <v>92</v>
      </c>
      <c r="E15" s="5" t="s">
        <v>123</v>
      </c>
      <c r="F15" s="5" t="s">
        <v>124</v>
      </c>
      <c r="G15" s="5" t="s">
        <v>95</v>
      </c>
      <c r="H15" s="5" t="s">
        <v>125</v>
      </c>
      <c r="I15" s="5" t="s">
        <v>126</v>
      </c>
    </row>
    <row r="17" ht="21.75" customHeight="1" spans="2:9" x14ac:dyDescent="0.25">
      <c r="B17" s="8" t="s">
        <v>127</v>
      </c>
      <c r="C17" s="10"/>
      <c r="D17" s="10"/>
      <c r="E17" s="10"/>
      <c r="F17" s="10"/>
      <c r="G17" s="10"/>
      <c r="H17" s="10"/>
      <c r="I17" s="2"/>
    </row>
    <row r="18" ht="13.5" customHeight="1" spans="2:9" x14ac:dyDescent="0.25">
      <c r="B18" s="21" t="s">
        <v>31</v>
      </c>
      <c r="C18" s="20"/>
      <c r="D18" s="20"/>
      <c r="E18" s="20"/>
      <c r="F18" s="20"/>
      <c r="G18" s="20"/>
      <c r="H18" s="20"/>
      <c r="I18" s="20"/>
    </row>
    <row r="19" ht="19.5" customHeight="1" spans="2:9" x14ac:dyDescent="0.25">
      <c r="B19" s="24" t="s">
        <v>128</v>
      </c>
      <c r="C19" s="24" t="s">
        <v>84</v>
      </c>
      <c r="D19" s="24" t="s">
        <v>129</v>
      </c>
      <c r="E19" s="10"/>
      <c r="F19" s="2"/>
      <c r="G19" s="24" t="s">
        <v>130</v>
      </c>
      <c r="H19" s="2"/>
      <c r="I19" s="24" t="s">
        <v>51</v>
      </c>
    </row>
    <row r="20" ht="15.75" customHeight="1" spans="2:9" x14ac:dyDescent="0.25">
      <c r="B20" s="25" t="s">
        <v>131</v>
      </c>
      <c r="C20" s="10"/>
      <c r="D20" s="10"/>
      <c r="E20" s="10"/>
      <c r="F20" s="10"/>
      <c r="G20" s="10"/>
      <c r="H20" s="10"/>
      <c r="I20" s="2"/>
    </row>
    <row r="21" ht="18" customHeight="1" spans="2:9" x14ac:dyDescent="0.25">
      <c r="B21" s="5"/>
      <c r="C21" s="5" t="s">
        <v>52</v>
      </c>
      <c r="D21" s="5" t="s">
        <v>132</v>
      </c>
      <c r="E21" s="5"/>
      <c r="F21" s="5"/>
      <c r="G21" s="5" t="s">
        <v>94</v>
      </c>
      <c r="H21" s="5"/>
      <c r="I21" s="5" t="s">
        <v>133</v>
      </c>
    </row>
    <row r="22" ht="18" customHeight="1" spans="2:9" x14ac:dyDescent="0.25">
      <c r="B22" s="5"/>
      <c r="C22" s="22" t="s">
        <v>57</v>
      </c>
      <c r="D22" s="5" t="s">
        <v>134</v>
      </c>
      <c r="E22" s="5"/>
      <c r="F22" s="5"/>
      <c r="G22" s="5" t="s">
        <v>135</v>
      </c>
      <c r="H22" s="5"/>
      <c r="I22" s="5" t="s">
        <v>136</v>
      </c>
    </row>
    <row r="23" ht="18" customHeight="1" spans="2:9" x14ac:dyDescent="0.25">
      <c r="B23" s="5"/>
      <c r="C23" s="5" t="s">
        <v>62</v>
      </c>
      <c r="D23" s="5" t="s">
        <v>137</v>
      </c>
      <c r="E23" s="5"/>
      <c r="F23" s="5"/>
      <c r="G23" s="5" t="s">
        <v>113</v>
      </c>
      <c r="H23" s="5"/>
      <c r="I23" s="5" t="s">
        <v>138</v>
      </c>
    </row>
    <row r="24" ht="15.75" customHeight="1" spans="2:9" x14ac:dyDescent="0.25">
      <c r="B24" s="25" t="s">
        <v>139</v>
      </c>
      <c r="C24" s="10"/>
      <c r="D24" s="10"/>
      <c r="E24" s="10"/>
      <c r="F24" s="10"/>
      <c r="G24" s="10"/>
      <c r="H24" s="10"/>
      <c r="I24" s="2"/>
    </row>
    <row r="25" ht="18" customHeight="1" spans="2:9" x14ac:dyDescent="0.25">
      <c r="B25" s="5"/>
      <c r="C25" s="5" t="s">
        <v>52</v>
      </c>
      <c r="D25" s="5" t="s">
        <v>140</v>
      </c>
      <c r="E25" s="5"/>
      <c r="F25" s="5"/>
      <c r="G25" s="5" t="s">
        <v>141</v>
      </c>
      <c r="H25" s="5"/>
      <c r="I25" s="5" t="s">
        <v>142</v>
      </c>
    </row>
    <row r="26" ht="18" customHeight="1" spans="2:9" x14ac:dyDescent="0.25">
      <c r="B26" s="5"/>
      <c r="C26" s="22" t="s">
        <v>57</v>
      </c>
      <c r="D26" s="22" t="s">
        <v>143</v>
      </c>
      <c r="E26" s="5"/>
      <c r="F26" s="5"/>
      <c r="G26" s="22" t="s">
        <v>144</v>
      </c>
      <c r="H26" s="5"/>
      <c r="I26" s="22" t="s">
        <v>145</v>
      </c>
    </row>
    <row r="27" ht="18" customHeight="1" spans="2:9" x14ac:dyDescent="0.25">
      <c r="B27" s="5"/>
      <c r="C27" s="5" t="s">
        <v>62</v>
      </c>
      <c r="D27" s="5" t="s">
        <v>146</v>
      </c>
      <c r="E27" s="5"/>
      <c r="F27" s="5"/>
      <c r="G27" s="5" t="s">
        <v>141</v>
      </c>
      <c r="H27" s="5"/>
      <c r="I27" s="5" t="s">
        <v>147</v>
      </c>
    </row>
    <row r="28" ht="15.75" customHeight="1" spans="2:9" x14ac:dyDescent="0.25">
      <c r="B28" s="25" t="s">
        <v>148</v>
      </c>
      <c r="C28" s="10"/>
      <c r="D28" s="10"/>
      <c r="E28" s="10"/>
      <c r="F28" s="10"/>
      <c r="G28" s="10"/>
      <c r="H28" s="10"/>
      <c r="I28" s="2"/>
    </row>
    <row r="29" ht="18" customHeight="1" spans="2:9" x14ac:dyDescent="0.25">
      <c r="B29" s="5"/>
      <c r="C29" s="5"/>
      <c r="D29" s="5"/>
      <c r="E29" s="5"/>
      <c r="F29" s="5"/>
      <c r="G29" s="5"/>
      <c r="H29" s="5"/>
      <c r="I29" s="5"/>
    </row>
    <row r="30" ht="18" customHeight="1" spans="2:9" x14ac:dyDescent="0.25">
      <c r="B30" s="5"/>
      <c r="C30" s="5"/>
      <c r="D30" s="5"/>
      <c r="E30" s="5"/>
      <c r="F30" s="5"/>
      <c r="G30" s="5"/>
      <c r="H30" s="5"/>
      <c r="I30" s="5"/>
    </row>
    <row r="31" ht="18" customHeight="1" spans="2:9" x14ac:dyDescent="0.25">
      <c r="B31" s="5"/>
      <c r="C31" s="5"/>
      <c r="D31" s="5"/>
      <c r="E31" s="5"/>
      <c r="F31" s="5"/>
      <c r="G31" s="5"/>
      <c r="H31" s="5"/>
      <c r="I31" s="5"/>
    </row>
    <row r="32" ht="15.75" customHeight="1" spans="2:9" x14ac:dyDescent="0.25">
      <c r="B32" s="25" t="s">
        <v>149</v>
      </c>
      <c r="C32" s="10"/>
      <c r="D32" s="10"/>
      <c r="E32" s="10"/>
      <c r="F32" s="10"/>
      <c r="G32" s="10"/>
      <c r="H32" s="10"/>
      <c r="I32" s="2"/>
    </row>
    <row r="33" ht="18" customHeight="1" spans="2:9" x14ac:dyDescent="0.25">
      <c r="B33" s="5"/>
      <c r="C33" s="5"/>
      <c r="D33" s="5"/>
      <c r="E33" s="5"/>
      <c r="F33" s="5"/>
      <c r="G33" s="5"/>
      <c r="H33" s="5"/>
      <c r="I33" s="5"/>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2:9" x14ac:dyDescent="0.25">
      <c r="B37" s="7" t="s">
        <v>150</v>
      </c>
      <c r="C37" s="10"/>
      <c r="D37" s="10"/>
      <c r="E37" s="10"/>
      <c r="F37" s="10"/>
      <c r="G37" s="10"/>
      <c r="H37" s="10"/>
      <c r="I37" s="2"/>
    </row>
    <row r="38" ht="13.5" customHeight="1" spans="2:9" x14ac:dyDescent="0.25">
      <c r="B38" s="21" t="s">
        <v>151</v>
      </c>
      <c r="C38" s="20"/>
      <c r="D38" s="20"/>
      <c r="E38" s="20"/>
      <c r="F38" s="20"/>
      <c r="G38" s="20"/>
      <c r="H38" s="20"/>
      <c r="I38" s="20"/>
    </row>
    <row r="39" ht="19.5" customHeight="1" spans="2:9" x14ac:dyDescent="0.25">
      <c r="B39" s="26" t="s">
        <v>152</v>
      </c>
      <c r="C39" s="26" t="s">
        <v>153</v>
      </c>
      <c r="D39" s="26" t="s">
        <v>154</v>
      </c>
      <c r="E39" s="26" t="s">
        <v>155</v>
      </c>
      <c r="F39" s="10"/>
      <c r="G39" s="10"/>
      <c r="H39" s="10"/>
      <c r="I39" s="2"/>
    </row>
    <row r="40" ht="21.75" customHeight="1" spans="2:9" x14ac:dyDescent="0.25">
      <c r="B40" s="27" t="s">
        <v>156</v>
      </c>
      <c r="C40" s="10"/>
      <c r="D40" s="2"/>
      <c r="E40" s="5" t="s">
        <v>157</v>
      </c>
      <c r="F40" s="10"/>
      <c r="G40" s="10"/>
      <c r="H40" s="10"/>
      <c r="I40" s="2"/>
    </row>
    <row r="41" ht="21.75" customHeight="1" spans="2:9" x14ac:dyDescent="0.25">
      <c r="B41" s="28" t="s">
        <v>158</v>
      </c>
      <c r="C41" s="10"/>
      <c r="D41" s="2"/>
      <c r="E41" s="5" t="s">
        <v>159</v>
      </c>
      <c r="F41" s="10"/>
      <c r="G41" s="10"/>
      <c r="H41" s="10"/>
      <c r="I41" s="2"/>
    </row>
    <row r="42" ht="21.75" customHeight="1" spans="2:9" x14ac:dyDescent="0.25">
      <c r="B42" s="28" t="s">
        <v>160</v>
      </c>
      <c r="C42" s="10"/>
      <c r="D42" s="2"/>
      <c r="E42" s="5" t="s">
        <v>161</v>
      </c>
      <c r="F42" s="10"/>
      <c r="G42" s="10"/>
      <c r="H42" s="10"/>
      <c r="I42" s="2"/>
    </row>
    <row r="43" ht="21.75" customHeight="1" spans="2:9" x14ac:dyDescent="0.25">
      <c r="B43" s="28" t="s">
        <v>162</v>
      </c>
      <c r="C43" s="10"/>
      <c r="D43" s="2"/>
      <c r="E43" s="5" t="s">
        <v>163</v>
      </c>
      <c r="F43" s="10"/>
      <c r="G43" s="10"/>
      <c r="H43" s="10"/>
      <c r="I43" s="2"/>
    </row>
    <row r="44" ht="21.75" customHeight="1" spans="2:9" x14ac:dyDescent="0.25">
      <c r="B44" s="29" t="s">
        <v>164</v>
      </c>
      <c r="C44" s="10"/>
      <c r="D44" s="2"/>
      <c r="E44" s="22" t="s">
        <v>165</v>
      </c>
      <c r="F44" s="10"/>
      <c r="G44" s="10"/>
      <c r="H44" s="10"/>
      <c r="I44" s="2"/>
    </row>
    <row r="45" ht="21.75" customHeight="1" spans="2:9" x14ac:dyDescent="0.25">
      <c r="B45" s="28" t="s">
        <v>158</v>
      </c>
      <c r="C45" s="10"/>
      <c r="D45" s="2"/>
      <c r="E45" s="22" t="s">
        <v>166</v>
      </c>
      <c r="F45" s="10"/>
      <c r="G45" s="10"/>
      <c r="H45" s="10"/>
      <c r="I45" s="2"/>
    </row>
    <row r="46" ht="21.75" customHeight="1" spans="2:9" x14ac:dyDescent="0.25">
      <c r="B46" s="28" t="s">
        <v>160</v>
      </c>
      <c r="C46" s="10"/>
      <c r="D46" s="2"/>
      <c r="E46" s="22" t="s">
        <v>167</v>
      </c>
      <c r="F46" s="10"/>
      <c r="G46" s="10"/>
      <c r="H46" s="10"/>
      <c r="I46" s="2"/>
    </row>
    <row r="47" ht="21.75" customHeight="1" spans="2:9" x14ac:dyDescent="0.25">
      <c r="B47" s="28" t="s">
        <v>162</v>
      </c>
      <c r="C47" s="10"/>
      <c r="D47" s="2"/>
      <c r="E47" s="22" t="s">
        <v>168</v>
      </c>
      <c r="F47" s="10"/>
      <c r="G47" s="10"/>
      <c r="H47" s="10"/>
      <c r="I47" s="2"/>
    </row>
    <row r="48" ht="21.75" customHeight="1" spans="2:9" x14ac:dyDescent="0.25">
      <c r="B48" s="27" t="s">
        <v>169</v>
      </c>
      <c r="C48" s="10"/>
      <c r="D48" s="2"/>
      <c r="E48" s="5" t="s">
        <v>170</v>
      </c>
      <c r="F48" s="10"/>
      <c r="G48" s="10"/>
      <c r="H48" s="10"/>
      <c r="I48" s="2"/>
    </row>
    <row r="49" ht="21.75" customHeight="1" spans="2:9" x14ac:dyDescent="0.25">
      <c r="B49" s="28" t="s">
        <v>158</v>
      </c>
      <c r="C49" s="10"/>
      <c r="D49" s="2"/>
      <c r="E49" s="5" t="s">
        <v>171</v>
      </c>
      <c r="F49" s="10"/>
      <c r="G49" s="10"/>
      <c r="H49" s="10"/>
      <c r="I49" s="2"/>
    </row>
    <row r="50" ht="21.75" customHeight="1" spans="2:9" x14ac:dyDescent="0.25">
      <c r="B50" s="28" t="s">
        <v>160</v>
      </c>
      <c r="C50" s="10"/>
      <c r="D50" s="2"/>
      <c r="E50" s="5" t="s">
        <v>172</v>
      </c>
      <c r="F50" s="10"/>
      <c r="G50" s="10"/>
      <c r="H50" s="10"/>
      <c r="I50" s="2"/>
    </row>
    <row r="51" ht="21.75" customHeight="1" spans="2:9" x14ac:dyDescent="0.25">
      <c r="B51" s="28" t="s">
        <v>162</v>
      </c>
      <c r="C51" s="10"/>
      <c r="D51" s="2"/>
      <c r="E51" s="5" t="s">
        <v>173</v>
      </c>
      <c r="F51" s="10"/>
      <c r="G51" s="10"/>
      <c r="H51" s="10"/>
      <c r="I51" s="2"/>
    </row>
    <row r="52" ht="21.75" customHeight="1" spans="2:9" x14ac:dyDescent="0.25">
      <c r="B52" s="27" t="s">
        <v>174</v>
      </c>
      <c r="C52" s="10"/>
      <c r="D52" s="2"/>
      <c r="E52" s="5"/>
      <c r="F52" s="10"/>
      <c r="G52" s="10"/>
      <c r="H52" s="10"/>
      <c r="I52" s="2"/>
    </row>
    <row r="53" ht="21.75" customHeight="1" spans="2:9" x14ac:dyDescent="0.25">
      <c r="B53" s="28" t="s">
        <v>158</v>
      </c>
      <c r="C53" s="10"/>
      <c r="D53" s="2"/>
      <c r="E53" s="5"/>
      <c r="F53" s="10"/>
      <c r="G53" s="10"/>
      <c r="H53" s="10"/>
      <c r="I53" s="2"/>
    </row>
    <row r="54" ht="21.75" customHeight="1" spans="2:9" x14ac:dyDescent="0.25">
      <c r="B54" s="28" t="s">
        <v>160</v>
      </c>
      <c r="C54" s="10"/>
      <c r="D54" s="2"/>
      <c r="E54" s="5"/>
      <c r="F54" s="10"/>
      <c r="G54" s="10"/>
      <c r="H54" s="10"/>
      <c r="I54" s="2"/>
    </row>
    <row r="55" ht="21.75" customHeight="1" spans="2:9" x14ac:dyDescent="0.25">
      <c r="B55" s="28" t="s">
        <v>162</v>
      </c>
      <c r="C55" s="10"/>
      <c r="D55" s="2"/>
      <c r="E55" s="5"/>
      <c r="F55" s="10"/>
      <c r="G55" s="10"/>
      <c r="H55" s="10"/>
      <c r="I55" s="2"/>
    </row>
    <row r="56" spans="5:9" x14ac:dyDescent="0.25">
      <c r="E56" s="5"/>
      <c r="F56" s="10"/>
      <c r="G56" s="10"/>
      <c r="H56" s="10"/>
      <c r="I56" s="2"/>
    </row>
    <row r="57" ht="21.75" customHeight="1" spans="2:9" x14ac:dyDescent="0.25">
      <c r="B57" s="30" t="s">
        <v>175</v>
      </c>
      <c r="C57" s="10"/>
      <c r="D57" s="10"/>
      <c r="E57" s="10"/>
      <c r="F57" s="10"/>
      <c r="G57" s="10"/>
      <c r="H57" s="10"/>
      <c r="I57" s="2"/>
    </row>
    <row r="58" ht="13.5" customHeight="1" spans="2:9" x14ac:dyDescent="0.25">
      <c r="B58" s="21" t="s">
        <v>176</v>
      </c>
      <c r="C58" s="20"/>
      <c r="D58" s="20"/>
      <c r="E58" s="20"/>
      <c r="F58" s="20"/>
      <c r="G58" s="20"/>
      <c r="H58" s="20"/>
      <c r="I58" s="20"/>
    </row>
    <row r="59" ht="18" customHeight="1" spans="2:9" x14ac:dyDescent="0.25">
      <c r="B59" s="31" t="s">
        <v>177</v>
      </c>
      <c r="C59" s="10"/>
      <c r="D59" s="10"/>
      <c r="E59" s="10"/>
      <c r="F59" s="10"/>
      <c r="G59" s="10"/>
      <c r="H59" s="10"/>
      <c r="I59" s="2"/>
    </row>
    <row r="60" ht="18" customHeight="1" spans="2:9" x14ac:dyDescent="0.25">
      <c r="B60" s="15" t="s">
        <v>178</v>
      </c>
      <c r="C60" s="10"/>
      <c r="D60" s="2"/>
      <c r="E60" s="32" t="s">
        <v>179</v>
      </c>
      <c r="F60" s="20"/>
      <c r="G60" s="20"/>
      <c r="H60" s="20"/>
      <c r="I60" s="20"/>
    </row>
    <row r="61" ht="18" customHeight="1" spans="2:9" x14ac:dyDescent="0.25">
      <c r="B61" s="15" t="s">
        <v>180</v>
      </c>
      <c r="C61" s="10"/>
      <c r="D61" s="2"/>
      <c r="E61" s="32" t="s">
        <v>181</v>
      </c>
      <c r="F61" s="20"/>
      <c r="G61" s="20"/>
      <c r="H61" s="20"/>
      <c r="I61" s="20"/>
    </row>
    <row r="62" ht="18" customHeight="1" spans="2:9" x14ac:dyDescent="0.25">
      <c r="B62" s="15" t="s">
        <v>182</v>
      </c>
      <c r="C62" s="10"/>
      <c r="D62" s="2"/>
      <c r="E62" s="32" t="s">
        <v>183</v>
      </c>
      <c r="F62" s="20"/>
      <c r="G62" s="20"/>
      <c r="H62" s="20"/>
      <c r="I62" s="20"/>
    </row>
    <row r="63" ht="18" customHeight="1" spans="2:9" x14ac:dyDescent="0.25">
      <c r="B63" s="15" t="s">
        <v>184</v>
      </c>
      <c r="C63" s="10"/>
      <c r="D63" s="2"/>
      <c r="E63" s="32" t="s">
        <v>185</v>
      </c>
      <c r="F63" s="20"/>
      <c r="G63" s="20"/>
      <c r="H63" s="20"/>
      <c r="I63" s="20"/>
    </row>
    <row r="64" ht="18" customHeight="1" spans="2:9" x14ac:dyDescent="0.25">
      <c r="B64" s="15" t="s">
        <v>186</v>
      </c>
      <c r="C64" s="10"/>
      <c r="D64" s="2"/>
      <c r="E64" s="32" t="s">
        <v>187</v>
      </c>
      <c r="F64" s="20"/>
      <c r="G64" s="20"/>
      <c r="H64" s="20"/>
      <c r="I64" s="20"/>
    </row>
    <row r="66" ht="18" customHeight="1" spans="2:9" x14ac:dyDescent="0.25">
      <c r="B66" s="31" t="s">
        <v>188</v>
      </c>
      <c r="C66" s="10"/>
      <c r="D66" s="10"/>
      <c r="E66" s="10"/>
      <c r="F66" s="10"/>
      <c r="G66" s="10"/>
      <c r="H66" s="10"/>
      <c r="I66" s="2"/>
    </row>
    <row r="67" ht="18" customHeight="1" spans="2:9" x14ac:dyDescent="0.25">
      <c r="B67" s="15" t="s">
        <v>178</v>
      </c>
      <c r="C67" s="10"/>
      <c r="D67" s="2"/>
      <c r="E67" s="33" t="s">
        <v>189</v>
      </c>
      <c r="F67" s="20"/>
      <c r="G67" s="20"/>
      <c r="H67" s="20"/>
      <c r="I67" s="20"/>
    </row>
    <row r="68" ht="18" customHeight="1" spans="2:9" x14ac:dyDescent="0.25">
      <c r="B68" s="15" t="s">
        <v>180</v>
      </c>
      <c r="C68" s="10"/>
      <c r="D68" s="2"/>
      <c r="E68" s="33" t="s">
        <v>190</v>
      </c>
      <c r="F68" s="20"/>
      <c r="G68" s="20"/>
      <c r="H68" s="20"/>
      <c r="I68" s="20"/>
    </row>
    <row r="69" ht="18" customHeight="1" spans="2:9" x14ac:dyDescent="0.25">
      <c r="B69" s="15" t="s">
        <v>182</v>
      </c>
      <c r="C69" s="10"/>
      <c r="D69" s="2"/>
      <c r="E69" s="33" t="s">
        <v>191</v>
      </c>
      <c r="F69" s="20"/>
      <c r="G69" s="20"/>
      <c r="H69" s="20"/>
      <c r="I69" s="20"/>
    </row>
    <row r="70" ht="18" customHeight="1" spans="2:9" x14ac:dyDescent="0.25">
      <c r="B70" s="15" t="s">
        <v>184</v>
      </c>
      <c r="C70" s="10"/>
      <c r="D70" s="2"/>
      <c r="E70" s="33" t="s">
        <v>192</v>
      </c>
      <c r="F70" s="20"/>
      <c r="G70" s="20"/>
      <c r="H70" s="20"/>
      <c r="I70" s="20"/>
    </row>
    <row r="71" ht="18" customHeight="1" spans="2:9" x14ac:dyDescent="0.25">
      <c r="B71" s="15" t="s">
        <v>186</v>
      </c>
      <c r="C71" s="10"/>
      <c r="D71" s="2"/>
      <c r="E71" s="33" t="s">
        <v>193</v>
      </c>
      <c r="F71" s="20"/>
      <c r="G71" s="20"/>
      <c r="H71" s="20"/>
      <c r="I71" s="20"/>
    </row>
    <row r="73" ht="18" customHeight="1" spans="2:9" x14ac:dyDescent="0.25">
      <c r="B73" s="31" t="s">
        <v>194</v>
      </c>
      <c r="C73" s="10"/>
      <c r="D73" s="10"/>
      <c r="E73" s="10"/>
      <c r="F73" s="10"/>
      <c r="G73" s="10"/>
      <c r="H73" s="10"/>
      <c r="I73" s="2"/>
    </row>
    <row r="74" ht="18" customHeight="1" spans="2:9" x14ac:dyDescent="0.25">
      <c r="B74" s="15" t="s">
        <v>178</v>
      </c>
      <c r="C74" s="10"/>
      <c r="D74" s="2"/>
      <c r="E74" s="28" t="s">
        <v>195</v>
      </c>
      <c r="F74" s="10"/>
      <c r="G74" s="10"/>
      <c r="H74" s="10"/>
      <c r="I74" s="2"/>
    </row>
    <row r="75" ht="18" customHeight="1" spans="2:9" x14ac:dyDescent="0.25">
      <c r="B75" s="15" t="s">
        <v>180</v>
      </c>
      <c r="C75" s="10"/>
      <c r="D75" s="2"/>
      <c r="E75" s="28" t="s">
        <v>196</v>
      </c>
      <c r="F75" s="10"/>
      <c r="G75" s="10"/>
      <c r="H75" s="10"/>
      <c r="I75" s="2"/>
    </row>
    <row r="76" ht="18" customHeight="1" spans="2:9" x14ac:dyDescent="0.25">
      <c r="B76" s="15" t="s">
        <v>182</v>
      </c>
      <c r="C76" s="10"/>
      <c r="D76" s="2"/>
      <c r="E76" s="28" t="s">
        <v>197</v>
      </c>
      <c r="F76" s="10"/>
      <c r="G76" s="10"/>
      <c r="H76" s="10"/>
      <c r="I76" s="2"/>
    </row>
    <row r="77" ht="18" customHeight="1" spans="2:9" x14ac:dyDescent="0.25">
      <c r="B77" s="15" t="s">
        <v>184</v>
      </c>
      <c r="C77" s="10"/>
      <c r="D77" s="2"/>
      <c r="E77" s="28" t="s">
        <v>198</v>
      </c>
      <c r="F77" s="10"/>
      <c r="G77" s="10"/>
      <c r="H77" s="10"/>
      <c r="I77" s="2"/>
    </row>
    <row r="78" ht="18" customHeight="1" spans="2:9" x14ac:dyDescent="0.25">
      <c r="B78" s="15" t="s">
        <v>186</v>
      </c>
      <c r="C78" s="10"/>
      <c r="D78" s="2"/>
      <c r="E78" s="28" t="s">
        <v>199</v>
      </c>
      <c r="F78" s="10"/>
      <c r="G78" s="10"/>
      <c r="H78" s="10"/>
      <c r="I78" s="2"/>
    </row>
    <row r="80" ht="18" customHeight="1" spans="2:9" x14ac:dyDescent="0.25">
      <c r="B80" s="31" t="s">
        <v>200</v>
      </c>
      <c r="C80" s="10"/>
      <c r="D80" s="10"/>
      <c r="E80" s="10"/>
      <c r="F80" s="10"/>
      <c r="G80" s="10"/>
      <c r="H80" s="10"/>
      <c r="I80" s="2"/>
    </row>
    <row r="81" ht="18" customHeight="1" spans="2:9" x14ac:dyDescent="0.25">
      <c r="B81" s="15" t="s">
        <v>178</v>
      </c>
      <c r="C81" s="10"/>
      <c r="D81" s="2"/>
      <c r="E81" s="28" t="s">
        <v>201</v>
      </c>
      <c r="F81" s="10"/>
      <c r="G81" s="10"/>
      <c r="H81" s="10"/>
      <c r="I81" s="2"/>
    </row>
    <row r="82" ht="18" customHeight="1" spans="2:9" x14ac:dyDescent="0.25">
      <c r="B82" s="15" t="s">
        <v>180</v>
      </c>
      <c r="C82" s="10"/>
      <c r="D82" s="2"/>
      <c r="E82" s="28" t="s">
        <v>202</v>
      </c>
      <c r="F82" s="10"/>
      <c r="G82" s="10"/>
      <c r="H82" s="10"/>
      <c r="I82" s="2"/>
    </row>
    <row r="83" ht="18" customHeight="1" spans="2:9" x14ac:dyDescent="0.25">
      <c r="B83" s="15" t="s">
        <v>182</v>
      </c>
      <c r="C83" s="10"/>
      <c r="D83" s="2"/>
      <c r="E83" s="28" t="s">
        <v>203</v>
      </c>
      <c r="F83" s="10"/>
      <c r="G83" s="10"/>
      <c r="H83" s="10"/>
      <c r="I83" s="2"/>
    </row>
    <row r="84" ht="18" customHeight="1" spans="2:9" x14ac:dyDescent="0.25">
      <c r="B84" s="15" t="s">
        <v>184</v>
      </c>
      <c r="C84" s="10"/>
      <c r="D84" s="2"/>
      <c r="E84" s="28" t="s">
        <v>204</v>
      </c>
      <c r="F84" s="10"/>
      <c r="G84" s="10"/>
      <c r="H84" s="10"/>
      <c r="I84" s="2"/>
    </row>
    <row r="85" ht="18" customHeight="1" spans="2:9" x14ac:dyDescent="0.25">
      <c r="B85" s="15" t="s">
        <v>186</v>
      </c>
      <c r="C85" s="10"/>
      <c r="D85" s="2"/>
      <c r="E85" s="28" t="s">
        <v>205</v>
      </c>
      <c r="F85" s="10"/>
      <c r="G85" s="10"/>
      <c r="H85" s="10"/>
      <c r="I85" s="2"/>
    </row>
    <row r="87" ht="18" customHeight="1" spans="2:9" x14ac:dyDescent="0.25">
      <c r="B87" s="31" t="s">
        <v>206</v>
      </c>
      <c r="C87" s="10"/>
      <c r="D87" s="10"/>
      <c r="E87" s="10"/>
      <c r="F87" s="10"/>
      <c r="G87" s="10"/>
      <c r="H87" s="10"/>
      <c r="I87" s="2"/>
    </row>
    <row r="88" ht="18" customHeight="1" spans="2:9" x14ac:dyDescent="0.25">
      <c r="B88" s="15" t="s">
        <v>178</v>
      </c>
      <c r="C88" s="10"/>
      <c r="D88" s="2"/>
      <c r="E88" s="28" t="s">
        <v>201</v>
      </c>
      <c r="F88" s="10"/>
      <c r="G88" s="10"/>
      <c r="H88" s="10"/>
      <c r="I88" s="2"/>
    </row>
    <row r="89" ht="18" customHeight="1" spans="2:9" x14ac:dyDescent="0.25">
      <c r="B89" s="15" t="s">
        <v>180</v>
      </c>
      <c r="C89" s="10"/>
      <c r="D89" s="2"/>
      <c r="E89" s="28" t="s">
        <v>202</v>
      </c>
      <c r="F89" s="10"/>
      <c r="G89" s="10"/>
      <c r="H89" s="10"/>
      <c r="I89" s="2"/>
    </row>
    <row r="90" ht="18" customHeight="1" spans="2:9" x14ac:dyDescent="0.25">
      <c r="B90" s="15" t="s">
        <v>182</v>
      </c>
      <c r="C90" s="10"/>
      <c r="D90" s="2"/>
      <c r="E90" s="28" t="s">
        <v>203</v>
      </c>
      <c r="F90" s="10"/>
      <c r="G90" s="10"/>
      <c r="H90" s="10"/>
      <c r="I90" s="2"/>
    </row>
    <row r="91" ht="18" customHeight="1" spans="2:9" x14ac:dyDescent="0.25">
      <c r="B91" s="15" t="s">
        <v>184</v>
      </c>
      <c r="C91" s="10"/>
      <c r="D91" s="2"/>
      <c r="E91" s="28" t="s">
        <v>204</v>
      </c>
      <c r="F91" s="10"/>
      <c r="G91" s="10"/>
      <c r="H91" s="10"/>
      <c r="I91" s="2"/>
    </row>
    <row r="92" ht="18" customHeight="1" spans="2:9" x14ac:dyDescent="0.25">
      <c r="B92" s="15" t="s">
        <v>186</v>
      </c>
      <c r="C92" s="10"/>
      <c r="D92" s="2"/>
      <c r="E92" s="28" t="s">
        <v>205</v>
      </c>
      <c r="F92" s="10"/>
      <c r="G92" s="10"/>
      <c r="H92" s="10"/>
      <c r="I92" s="2"/>
    </row>
    <row r="94" ht="15.75" customHeight="1" spans="2:9" x14ac:dyDescent="0.25">
      <c r="B94" s="34" t="s">
        <v>207</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workbookViewId="0" showGridLines="0" zoomScale="85" zoomScaleNormal="85">
      <selection activeCell="G15" sqref="G15"/>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2:9" x14ac:dyDescent="0.25">
      <c r="B2" s="18" t="s">
        <v>79</v>
      </c>
      <c r="C2" s="10"/>
      <c r="D2" s="10"/>
      <c r="E2" s="10"/>
      <c r="F2" s="10"/>
      <c r="G2" s="10"/>
      <c r="H2" s="10"/>
      <c r="I2" s="2"/>
    </row>
    <row r="3" ht="15.75" customHeight="1" spans="2:9" x14ac:dyDescent="0.25">
      <c r="B3" s="19" t="s">
        <v>80</v>
      </c>
      <c r="C3" s="20"/>
      <c r="D3" s="20"/>
      <c r="E3" s="20"/>
      <c r="F3" s="20"/>
      <c r="G3" s="20"/>
      <c r="H3" s="20"/>
      <c r="I3" s="20"/>
    </row>
    <row r="5" ht="21.75" customHeight="1" spans="2:9" x14ac:dyDescent="0.25">
      <c r="B5" s="6" t="s">
        <v>81</v>
      </c>
      <c r="C5" s="10"/>
      <c r="D5" s="10"/>
      <c r="E5" s="10"/>
      <c r="F5" s="10"/>
      <c r="G5" s="10"/>
      <c r="H5" s="10"/>
      <c r="I5" s="2"/>
    </row>
    <row r="6" ht="13.5" customHeight="1" spans="2:9" x14ac:dyDescent="0.25">
      <c r="B6" s="21" t="s">
        <v>82</v>
      </c>
      <c r="C6" s="20"/>
      <c r="D6" s="20"/>
      <c r="E6" s="20"/>
      <c r="F6" s="20"/>
      <c r="G6" s="20"/>
      <c r="H6" s="20"/>
      <c r="I6" s="20"/>
    </row>
    <row r="7" ht="19.5" customHeight="1" spans="2:9" x14ac:dyDescent="0.25">
      <c r="B7" s="12" t="s">
        <v>83</v>
      </c>
      <c r="C7" s="12" t="s">
        <v>84</v>
      </c>
      <c r="D7" s="12" t="s">
        <v>85</v>
      </c>
      <c r="E7" s="12" t="s">
        <v>86</v>
      </c>
      <c r="F7" s="12" t="s">
        <v>87</v>
      </c>
      <c r="G7" s="12" t="s">
        <v>88</v>
      </c>
      <c r="H7" s="12" t="s">
        <v>89</v>
      </c>
      <c r="I7" s="12" t="s">
        <v>90</v>
      </c>
    </row>
    <row r="8" ht="18" customHeight="1" spans="2:9" x14ac:dyDescent="0.25">
      <c r="B8" s="5" t="s">
        <v>208</v>
      </c>
      <c r="C8" s="5" t="s">
        <v>52</v>
      </c>
      <c r="D8" s="5" t="s">
        <v>92</v>
      </c>
      <c r="E8" s="5" t="s">
        <v>209</v>
      </c>
      <c r="F8" s="5" t="s">
        <v>210</v>
      </c>
      <c r="G8" s="5" t="s">
        <v>100</v>
      </c>
      <c r="H8" s="5" t="s">
        <v>211</v>
      </c>
      <c r="I8" s="5" t="s">
        <v>212</v>
      </c>
    </row>
    <row r="9" ht="18" customHeight="1" spans="2:9" x14ac:dyDescent="0.25">
      <c r="B9" s="23">
        <v>46197</v>
      </c>
      <c r="C9" s="5" t="s">
        <v>52</v>
      </c>
      <c r="D9" s="5" t="s">
        <v>92</v>
      </c>
      <c r="E9" s="5" t="s">
        <v>213</v>
      </c>
      <c r="F9" s="5" t="s">
        <v>214</v>
      </c>
      <c r="G9" s="5" t="s">
        <v>215</v>
      </c>
      <c r="H9" s="5" t="s">
        <v>216</v>
      </c>
      <c r="I9" s="5" t="s">
        <v>217</v>
      </c>
    </row>
    <row r="10" ht="18" customHeight="1" spans="2:9" x14ac:dyDescent="0.25">
      <c r="B10" s="23">
        <v>46197</v>
      </c>
      <c r="C10" s="5" t="s">
        <v>57</v>
      </c>
      <c r="D10" s="5" t="s">
        <v>218</v>
      </c>
      <c r="E10" s="5" t="s">
        <v>219</v>
      </c>
      <c r="F10" s="22" t="s">
        <v>220</v>
      </c>
      <c r="G10" s="5" t="s">
        <v>100</v>
      </c>
      <c r="H10" s="5" t="s">
        <v>221</v>
      </c>
      <c r="I10" s="35" t="s">
        <v>222</v>
      </c>
    </row>
    <row r="11" ht="18" customHeight="1" spans="2:9" x14ac:dyDescent="0.25">
      <c r="B11" s="23">
        <v>46197</v>
      </c>
      <c r="C11" s="5" t="s">
        <v>57</v>
      </c>
      <c r="D11" s="22" t="s">
        <v>218</v>
      </c>
      <c r="E11" s="36" t="s">
        <v>223</v>
      </c>
      <c r="F11" s="22" t="s">
        <v>224</v>
      </c>
      <c r="G11" s="22" t="s">
        <v>100</v>
      </c>
      <c r="H11" s="22" t="s">
        <v>225</v>
      </c>
      <c r="I11" s="35" t="s">
        <v>222</v>
      </c>
    </row>
    <row r="12" ht="18" customHeight="1" spans="2:9" x14ac:dyDescent="0.25">
      <c r="B12" s="23">
        <v>46197</v>
      </c>
      <c r="C12" s="5" t="s">
        <v>62</v>
      </c>
      <c r="D12" s="5" t="s">
        <v>92</v>
      </c>
      <c r="E12" s="5" t="s">
        <v>226</v>
      </c>
      <c r="F12" s="5" t="s">
        <v>227</v>
      </c>
      <c r="G12" s="5" t="s">
        <v>95</v>
      </c>
      <c r="H12" s="5" t="s">
        <v>228</v>
      </c>
      <c r="I12" s="5" t="s">
        <v>229</v>
      </c>
    </row>
    <row r="13" ht="18" customHeight="1" spans="2:9" x14ac:dyDescent="0.25">
      <c r="B13" s="23">
        <v>46197</v>
      </c>
      <c r="C13" s="5" t="s">
        <v>62</v>
      </c>
      <c r="D13" s="5" t="s">
        <v>92</v>
      </c>
      <c r="E13" s="5" t="s">
        <v>230</v>
      </c>
      <c r="F13" s="22" t="s">
        <v>231</v>
      </c>
      <c r="G13" s="5" t="s">
        <v>95</v>
      </c>
      <c r="H13" s="5" t="s">
        <v>232</v>
      </c>
      <c r="I13" s="5" t="s">
        <v>233</v>
      </c>
    </row>
    <row r="14" ht="18" customHeight="1" spans="2:9" x14ac:dyDescent="0.25">
      <c r="B14" s="5"/>
      <c r="C14" s="5"/>
      <c r="D14" s="5"/>
      <c r="E14" s="5"/>
      <c r="F14" s="5"/>
      <c r="G14" s="5"/>
      <c r="H14" s="5"/>
      <c r="I14" s="5"/>
    </row>
    <row r="15" ht="18" customHeight="1" spans="2:9" x14ac:dyDescent="0.25">
      <c r="B15" s="5"/>
      <c r="C15" s="5"/>
      <c r="D15" s="5"/>
      <c r="E15" s="5"/>
      <c r="F15" s="5"/>
      <c r="G15" s="5"/>
      <c r="H15" s="5"/>
      <c r="I15" s="5"/>
    </row>
    <row r="17" ht="21.75" customHeight="1" spans="2:9" x14ac:dyDescent="0.25">
      <c r="B17" s="8" t="s">
        <v>127</v>
      </c>
      <c r="C17" s="10"/>
      <c r="D17" s="10"/>
      <c r="E17" s="10"/>
      <c r="F17" s="10"/>
      <c r="G17" s="10"/>
      <c r="H17" s="10"/>
      <c r="I17" s="2"/>
    </row>
    <row r="18" ht="13.5" customHeight="1" spans="2:9" x14ac:dyDescent="0.25">
      <c r="B18" s="21" t="s">
        <v>31</v>
      </c>
      <c r="C18" s="20"/>
      <c r="D18" s="20"/>
      <c r="E18" s="20"/>
      <c r="F18" s="20"/>
      <c r="G18" s="20"/>
      <c r="H18" s="20"/>
      <c r="I18" s="20"/>
    </row>
    <row r="19" ht="19.5" customHeight="1" spans="2:9" x14ac:dyDescent="0.25">
      <c r="B19" s="24" t="s">
        <v>128</v>
      </c>
      <c r="C19" s="24" t="s">
        <v>84</v>
      </c>
      <c r="D19" s="24" t="s">
        <v>129</v>
      </c>
      <c r="E19" s="10"/>
      <c r="F19" s="2"/>
      <c r="G19" s="24" t="s">
        <v>130</v>
      </c>
      <c r="H19" s="2"/>
      <c r="I19" s="24" t="s">
        <v>51</v>
      </c>
    </row>
    <row r="20" ht="15.75" customHeight="1" spans="2:9" x14ac:dyDescent="0.25">
      <c r="B20" s="25" t="s">
        <v>131</v>
      </c>
      <c r="C20" s="10"/>
      <c r="D20" s="10"/>
      <c r="E20" s="10"/>
      <c r="F20" s="10"/>
      <c r="G20" s="10"/>
      <c r="H20" s="10"/>
      <c r="I20" s="2"/>
    </row>
    <row r="21" ht="18" customHeight="1" spans="2:9" x14ac:dyDescent="0.25">
      <c r="B21" s="5"/>
      <c r="C21" s="5" t="s">
        <v>52</v>
      </c>
      <c r="D21" s="5" t="s">
        <v>234</v>
      </c>
      <c r="E21" s="5"/>
      <c r="F21" s="5"/>
      <c r="G21" s="5" t="s">
        <v>235</v>
      </c>
      <c r="H21" s="5"/>
      <c r="I21" s="5" t="s">
        <v>236</v>
      </c>
    </row>
    <row r="22" ht="18" customHeight="1" spans="2:9" x14ac:dyDescent="0.25">
      <c r="B22" s="5"/>
      <c r="C22" s="5" t="s">
        <v>52</v>
      </c>
      <c r="D22" s="5" t="s">
        <v>237</v>
      </c>
      <c r="E22" s="5"/>
      <c r="F22" s="5"/>
      <c r="G22" s="5" t="s">
        <v>238</v>
      </c>
      <c r="H22" s="5"/>
      <c r="I22" s="5" t="s">
        <v>239</v>
      </c>
    </row>
    <row r="23" ht="18" customHeight="1" spans="2:9" x14ac:dyDescent="0.25">
      <c r="B23" s="5"/>
      <c r="C23" s="22" t="s">
        <v>62</v>
      </c>
      <c r="D23" s="37" t="s">
        <v>240</v>
      </c>
      <c r="E23" s="5"/>
      <c r="F23" s="5"/>
      <c r="G23" s="22" t="s">
        <v>227</v>
      </c>
      <c r="H23" s="5"/>
      <c r="I23" s="22" t="s">
        <v>241</v>
      </c>
    </row>
    <row r="24" ht="15.75" customHeight="1" spans="2:9" x14ac:dyDescent="0.25">
      <c r="B24" s="25" t="s">
        <v>139</v>
      </c>
      <c r="C24" s="10"/>
      <c r="D24" s="10"/>
      <c r="E24" s="10"/>
      <c r="F24" s="10"/>
      <c r="G24" s="10"/>
      <c r="H24" s="10"/>
      <c r="I24" s="2"/>
    </row>
    <row r="25" ht="18" customHeight="1" spans="2:9" x14ac:dyDescent="0.25">
      <c r="B25" s="5"/>
      <c r="C25" s="22" t="s">
        <v>57</v>
      </c>
      <c r="D25" s="22" t="s">
        <v>242</v>
      </c>
      <c r="E25" s="5"/>
      <c r="F25" s="5"/>
      <c r="G25" t="s">
        <v>243</v>
      </c>
      <c r="H25" s="5"/>
      <c r="I25" s="22" t="s">
        <v>244</v>
      </c>
    </row>
    <row r="26" ht="18" customHeight="1" spans="2:9" x14ac:dyDescent="0.25">
      <c r="B26" s="5"/>
      <c r="C26" s="22" t="s">
        <v>62</v>
      </c>
      <c r="D26" s="22" t="s">
        <v>245</v>
      </c>
      <c r="E26" s="5"/>
      <c r="F26" s="5"/>
      <c r="G26" s="22" t="s">
        <v>246</v>
      </c>
      <c r="H26" s="5"/>
      <c r="I26" s="37" t="s">
        <v>247</v>
      </c>
    </row>
    <row r="27" ht="18" customHeight="1" spans="2:9" x14ac:dyDescent="0.25">
      <c r="B27" s="5"/>
      <c r="C27" s="5"/>
      <c r="D27" s="5"/>
      <c r="E27" s="5"/>
      <c r="F27" s="5"/>
      <c r="G27" s="5"/>
      <c r="H27" s="5"/>
      <c r="I27" s="5"/>
    </row>
    <row r="28" ht="15.75" customHeight="1" spans="2:9" x14ac:dyDescent="0.25">
      <c r="B28" s="25" t="s">
        <v>148</v>
      </c>
      <c r="C28" s="10"/>
      <c r="D28" s="10"/>
      <c r="E28" s="10"/>
      <c r="F28" s="10"/>
      <c r="G28" s="10"/>
      <c r="H28" s="10"/>
      <c r="I28" s="2"/>
    </row>
    <row r="29" ht="18" customHeight="1" spans="2:9" x14ac:dyDescent="0.25">
      <c r="B29" s="5"/>
      <c r="C29" s="5"/>
      <c r="D29" s="5"/>
      <c r="E29" s="5"/>
      <c r="F29" s="5"/>
      <c r="G29" s="5"/>
      <c r="H29" s="5"/>
      <c r="I29" s="5"/>
    </row>
    <row r="30" ht="18" customHeight="1" spans="2:9" x14ac:dyDescent="0.25">
      <c r="B30" s="5"/>
      <c r="C30" s="5"/>
      <c r="D30" s="5"/>
      <c r="E30" s="5"/>
      <c r="F30" s="5"/>
      <c r="G30" s="5"/>
      <c r="H30" s="5"/>
      <c r="I30" s="5"/>
    </row>
    <row r="31" ht="18" customHeight="1" spans="2:9" x14ac:dyDescent="0.25">
      <c r="B31" s="5"/>
      <c r="C31" s="5"/>
      <c r="D31" s="5"/>
      <c r="E31" s="5"/>
      <c r="F31" s="5"/>
      <c r="G31" s="5"/>
      <c r="H31" s="5"/>
      <c r="I31" s="5"/>
    </row>
    <row r="32" ht="15.75" customHeight="1" spans="2:9" x14ac:dyDescent="0.25">
      <c r="B32" s="25" t="s">
        <v>149</v>
      </c>
      <c r="C32" s="10"/>
      <c r="D32" s="10"/>
      <c r="E32" s="10"/>
      <c r="F32" s="10"/>
      <c r="G32" s="10"/>
      <c r="H32" s="10"/>
      <c r="I32" s="2"/>
    </row>
    <row r="33" ht="18" customHeight="1" spans="2:9" x14ac:dyDescent="0.25">
      <c r="B33" s="5"/>
      <c r="C33" s="5"/>
      <c r="D33" s="5"/>
      <c r="E33" s="5"/>
      <c r="F33" s="5"/>
      <c r="G33" s="5"/>
      <c r="H33" s="5"/>
      <c r="I33" s="5"/>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2:9" x14ac:dyDescent="0.25">
      <c r="B37" s="7" t="s">
        <v>150</v>
      </c>
      <c r="C37" s="10"/>
      <c r="D37" s="10"/>
      <c r="E37" s="10"/>
      <c r="F37" s="10"/>
      <c r="G37" s="10"/>
      <c r="H37" s="10"/>
      <c r="I37" s="2"/>
    </row>
    <row r="38" ht="13.5" customHeight="1" spans="2:9" x14ac:dyDescent="0.25">
      <c r="B38" s="21" t="s">
        <v>151</v>
      </c>
      <c r="C38" s="20"/>
      <c r="D38" s="20"/>
      <c r="E38" s="20"/>
      <c r="F38" s="20"/>
      <c r="G38" s="20"/>
      <c r="H38" s="20"/>
      <c r="I38" s="20"/>
    </row>
    <row r="39" ht="19.5" customHeight="1" spans="2:9" x14ac:dyDescent="0.25">
      <c r="B39" s="26" t="s">
        <v>152</v>
      </c>
      <c r="C39" s="26" t="s">
        <v>153</v>
      </c>
      <c r="D39" s="26" t="s">
        <v>154</v>
      </c>
      <c r="E39" s="26" t="s">
        <v>155</v>
      </c>
      <c r="F39" s="10"/>
      <c r="G39" s="10"/>
      <c r="H39" s="10"/>
      <c r="I39" s="2"/>
    </row>
    <row r="40" ht="21.75" customHeight="1" spans="2:9" x14ac:dyDescent="0.25">
      <c r="B40" s="27" t="s">
        <v>248</v>
      </c>
      <c r="C40" s="10"/>
      <c r="D40" s="2"/>
      <c r="E40" s="5" t="s">
        <v>249</v>
      </c>
      <c r="F40" s="10"/>
      <c r="G40" s="10"/>
      <c r="H40" s="10"/>
      <c r="I40" s="2"/>
    </row>
    <row r="41" ht="21.75" customHeight="1" spans="2:9" x14ac:dyDescent="0.25">
      <c r="B41" s="28" t="s">
        <v>158</v>
      </c>
      <c r="C41" s="10"/>
      <c r="D41" s="2"/>
      <c r="E41" s="5" t="s">
        <v>250</v>
      </c>
      <c r="F41" s="10"/>
      <c r="G41" s="10"/>
      <c r="H41" s="10"/>
      <c r="I41" s="2"/>
    </row>
    <row r="42" ht="21.75" customHeight="1" spans="2:9" x14ac:dyDescent="0.25">
      <c r="B42" s="28" t="s">
        <v>160</v>
      </c>
      <c r="C42" s="10"/>
      <c r="D42" s="2"/>
      <c r="E42" s="5" t="s">
        <v>251</v>
      </c>
      <c r="F42" s="10"/>
      <c r="G42" s="10"/>
      <c r="H42" s="10"/>
      <c r="I42" s="2"/>
    </row>
    <row r="43" ht="21.75" customHeight="1" spans="2:9" x14ac:dyDescent="0.25">
      <c r="B43" s="28" t="s">
        <v>162</v>
      </c>
      <c r="C43" s="10"/>
      <c r="D43" s="2"/>
      <c r="E43" s="5" t="s">
        <v>252</v>
      </c>
      <c r="F43" s="10"/>
      <c r="G43" s="10"/>
      <c r="H43" s="10"/>
      <c r="I43" s="2"/>
    </row>
    <row r="44" ht="21.75" customHeight="1" spans="2:9" x14ac:dyDescent="0.25">
      <c r="B44" s="29" t="s">
        <v>253</v>
      </c>
      <c r="C44" s="10"/>
      <c r="D44" s="2"/>
      <c r="E44" s="22" t="s">
        <v>254</v>
      </c>
      <c r="F44" s="10"/>
      <c r="G44" s="10"/>
      <c r="H44" s="10"/>
      <c r="I44" s="2"/>
    </row>
    <row r="45" ht="21.75" customHeight="1" spans="2:9" x14ac:dyDescent="0.25">
      <c r="B45" s="28" t="s">
        <v>158</v>
      </c>
      <c r="C45" s="10"/>
      <c r="D45" s="2"/>
      <c r="E45" s="22" t="s">
        <v>255</v>
      </c>
      <c r="F45" s="10"/>
      <c r="G45" s="10"/>
      <c r="H45" s="10"/>
      <c r="I45" s="2"/>
    </row>
    <row r="46" ht="21.75" customHeight="1" spans="2:9" x14ac:dyDescent="0.25">
      <c r="B46" s="28" t="s">
        <v>160</v>
      </c>
      <c r="C46" s="10"/>
      <c r="D46" s="2"/>
      <c r="E46" s="22" t="s">
        <v>256</v>
      </c>
      <c r="F46" s="10"/>
      <c r="G46" s="10"/>
      <c r="H46" s="10"/>
      <c r="I46" s="2"/>
    </row>
    <row r="47" ht="21.75" customHeight="1" spans="2:9" x14ac:dyDescent="0.25">
      <c r="B47" s="28" t="s">
        <v>162</v>
      </c>
      <c r="C47" s="10"/>
      <c r="D47" s="2"/>
      <c r="E47" s="22" t="s">
        <v>257</v>
      </c>
      <c r="F47" s="10"/>
      <c r="G47" s="10"/>
      <c r="H47" s="10"/>
      <c r="I47" s="2"/>
    </row>
    <row r="48" ht="21.75" customHeight="1" spans="2:9" x14ac:dyDescent="0.25">
      <c r="B48" s="29" t="s">
        <v>169</v>
      </c>
      <c r="C48" s="10"/>
      <c r="D48" s="2"/>
      <c r="E48" s="22" t="s">
        <v>258</v>
      </c>
      <c r="F48" s="10"/>
      <c r="G48" s="10"/>
      <c r="H48" s="10"/>
      <c r="I48" s="2"/>
    </row>
    <row r="49" ht="21.75" customHeight="1" spans="2:9" x14ac:dyDescent="0.25">
      <c r="B49" s="28" t="s">
        <v>158</v>
      </c>
      <c r="C49" s="10"/>
      <c r="D49" s="2"/>
      <c r="E49" s="22" t="s">
        <v>259</v>
      </c>
      <c r="F49" s="10"/>
      <c r="G49" s="10"/>
      <c r="H49" s="10"/>
      <c r="I49" s="2"/>
    </row>
    <row r="50" ht="21.75" customHeight="1" spans="2:9" x14ac:dyDescent="0.25">
      <c r="B50" s="28" t="s">
        <v>160</v>
      </c>
      <c r="C50" s="10"/>
      <c r="D50" s="2"/>
      <c r="E50" s="22" t="s">
        <v>260</v>
      </c>
      <c r="F50" s="10"/>
      <c r="G50" s="10"/>
      <c r="H50" s="10"/>
      <c r="I50" s="2"/>
    </row>
    <row r="51" ht="21.75" customHeight="1" spans="2:9" x14ac:dyDescent="0.25">
      <c r="B51" s="28" t="s">
        <v>162</v>
      </c>
      <c r="C51" s="10"/>
      <c r="D51" s="2"/>
      <c r="E51" s="22" t="s">
        <v>261</v>
      </c>
      <c r="F51" s="10"/>
      <c r="G51" s="10"/>
      <c r="H51" s="10"/>
      <c r="I51" s="2"/>
    </row>
    <row r="52" ht="21.75" customHeight="1" spans="2:9" x14ac:dyDescent="0.25">
      <c r="B52" s="27" t="s">
        <v>174</v>
      </c>
      <c r="C52" s="10"/>
      <c r="D52" s="2"/>
      <c r="E52" s="22" t="s">
        <v>262</v>
      </c>
      <c r="F52" s="10"/>
      <c r="G52" s="10"/>
      <c r="H52" s="10"/>
      <c r="I52" s="2"/>
    </row>
    <row r="53" ht="21.75" customHeight="1" spans="2:9" x14ac:dyDescent="0.25">
      <c r="B53" s="28" t="s">
        <v>158</v>
      </c>
      <c r="C53" s="10"/>
      <c r="D53" s="2"/>
      <c r="E53" s="5"/>
      <c r="F53" s="10"/>
      <c r="G53" s="10"/>
      <c r="H53" s="10"/>
      <c r="I53" s="2"/>
    </row>
    <row r="54" ht="21.75" customHeight="1" spans="2:9" x14ac:dyDescent="0.25">
      <c r="B54" s="28" t="s">
        <v>160</v>
      </c>
      <c r="C54" s="10"/>
      <c r="D54" s="2"/>
      <c r="E54" s="5"/>
      <c r="F54" s="10"/>
      <c r="G54" s="10"/>
      <c r="H54" s="10"/>
      <c r="I54" s="2"/>
    </row>
    <row r="55" ht="21.75" customHeight="1" spans="2:9" x14ac:dyDescent="0.25">
      <c r="B55" s="28" t="s">
        <v>162</v>
      </c>
      <c r="C55" s="10"/>
      <c r="D55" s="2"/>
      <c r="E55" s="5"/>
      <c r="F55" s="10"/>
      <c r="G55" s="10"/>
      <c r="H55" s="10"/>
      <c r="I55" s="2"/>
    </row>
    <row r="56" spans="5:9" x14ac:dyDescent="0.25">
      <c r="E56" s="5"/>
      <c r="F56" s="10"/>
      <c r="G56" s="10"/>
      <c r="H56" s="10"/>
      <c r="I56" s="2"/>
    </row>
    <row r="57" ht="21.75" customHeight="1" spans="2:9" x14ac:dyDescent="0.25">
      <c r="B57" s="30" t="s">
        <v>175</v>
      </c>
      <c r="C57" s="10"/>
      <c r="D57" s="10"/>
      <c r="E57" s="10"/>
      <c r="F57" s="10"/>
      <c r="G57" s="10"/>
      <c r="H57" s="10"/>
      <c r="I57" s="2"/>
    </row>
    <row r="58" ht="13.5" customHeight="1" spans="2:9" x14ac:dyDescent="0.25">
      <c r="B58" s="21" t="s">
        <v>176</v>
      </c>
      <c r="C58" s="20"/>
      <c r="D58" s="20"/>
      <c r="E58" s="20"/>
      <c r="F58" s="20"/>
      <c r="G58" s="20"/>
      <c r="H58" s="20"/>
      <c r="I58" s="20"/>
    </row>
    <row r="59" ht="18" customHeight="1" spans="2:9" x14ac:dyDescent="0.25">
      <c r="B59" s="31" t="s">
        <v>177</v>
      </c>
      <c r="C59" s="10"/>
      <c r="D59" s="10"/>
      <c r="E59" s="10"/>
      <c r="F59" s="10"/>
      <c r="G59" s="10"/>
      <c r="H59" s="10"/>
      <c r="I59" s="2"/>
    </row>
    <row r="60" ht="18" customHeight="1" spans="2:9" x14ac:dyDescent="0.25">
      <c r="B60" s="15" t="s">
        <v>178</v>
      </c>
      <c r="C60" s="10"/>
      <c r="D60" s="2"/>
      <c r="E60" s="32" t="s">
        <v>263</v>
      </c>
      <c r="F60" s="20"/>
      <c r="G60" s="20"/>
      <c r="H60" s="20"/>
      <c r="I60" s="20"/>
    </row>
    <row r="61" ht="18" customHeight="1" spans="2:9" x14ac:dyDescent="0.25">
      <c r="B61" s="15" t="s">
        <v>180</v>
      </c>
      <c r="C61" s="10"/>
      <c r="D61" s="2"/>
      <c r="E61" s="32" t="s">
        <v>264</v>
      </c>
      <c r="F61" s="20"/>
      <c r="G61" s="20"/>
      <c r="H61" s="20"/>
      <c r="I61" s="20"/>
    </row>
    <row r="62" ht="18" customHeight="1" spans="2:9" x14ac:dyDescent="0.25">
      <c r="B62" s="15" t="s">
        <v>182</v>
      </c>
      <c r="C62" s="10"/>
      <c r="D62" s="2"/>
      <c r="E62" s="32" t="s">
        <v>265</v>
      </c>
      <c r="F62" s="20"/>
      <c r="G62" s="20"/>
      <c r="H62" s="20"/>
      <c r="I62" s="20"/>
    </row>
    <row r="63" ht="18" customHeight="1" spans="2:9" x14ac:dyDescent="0.25">
      <c r="B63" s="15" t="s">
        <v>184</v>
      </c>
      <c r="C63" s="10"/>
      <c r="D63" s="2"/>
      <c r="E63" s="32" t="s">
        <v>266</v>
      </c>
      <c r="F63" s="20"/>
      <c r="G63" s="20"/>
      <c r="H63" s="20"/>
      <c r="I63" s="20"/>
    </row>
    <row r="64" ht="18" customHeight="1" spans="2:9" x14ac:dyDescent="0.25">
      <c r="B64" s="15" t="s">
        <v>186</v>
      </c>
      <c r="C64" s="10"/>
      <c r="D64" s="2"/>
      <c r="E64" s="32" t="s">
        <v>267</v>
      </c>
      <c r="F64" s="20"/>
      <c r="G64" s="20"/>
      <c r="H64" s="20"/>
      <c r="I64" s="20"/>
    </row>
    <row r="66" ht="18" customHeight="1" spans="2:9" x14ac:dyDescent="0.25">
      <c r="B66" s="31" t="s">
        <v>188</v>
      </c>
      <c r="C66" s="10"/>
      <c r="D66" s="10"/>
      <c r="E66" s="10"/>
      <c r="F66" s="10"/>
      <c r="G66" s="10"/>
      <c r="H66" s="10"/>
      <c r="I66" s="2"/>
    </row>
    <row r="67" ht="18" customHeight="1" spans="2:9" x14ac:dyDescent="0.25">
      <c r="B67" s="15" t="s">
        <v>178</v>
      </c>
      <c r="C67" s="10"/>
      <c r="D67" s="2"/>
      <c r="E67" s="33" t="s">
        <v>268</v>
      </c>
      <c r="F67" s="20"/>
      <c r="G67" s="20"/>
      <c r="H67" s="20"/>
      <c r="I67" s="20"/>
    </row>
    <row r="68" ht="18" customHeight="1" spans="2:9" x14ac:dyDescent="0.25">
      <c r="B68" s="15" t="s">
        <v>180</v>
      </c>
      <c r="C68" s="10"/>
      <c r="D68" s="2"/>
      <c r="E68" s="33" t="s">
        <v>269</v>
      </c>
      <c r="F68" s="20"/>
      <c r="G68" s="20"/>
      <c r="H68" s="20"/>
      <c r="I68" s="20"/>
    </row>
    <row r="69" ht="18" customHeight="1" spans="2:9" x14ac:dyDescent="0.25">
      <c r="B69" s="15" t="s">
        <v>182</v>
      </c>
      <c r="C69" s="10"/>
      <c r="D69" s="2"/>
      <c r="E69" s="33" t="s">
        <v>270</v>
      </c>
      <c r="F69" s="20"/>
      <c r="G69" s="20"/>
      <c r="H69" s="20"/>
      <c r="I69" s="20"/>
    </row>
    <row r="70" ht="18" customHeight="1" spans="2:9" x14ac:dyDescent="0.25">
      <c r="B70" s="15" t="s">
        <v>184</v>
      </c>
      <c r="C70" s="10"/>
      <c r="D70" s="2"/>
      <c r="E70" s="33" t="s">
        <v>271</v>
      </c>
      <c r="F70" s="20"/>
      <c r="G70" s="20"/>
      <c r="H70" s="20"/>
      <c r="I70" s="20"/>
    </row>
    <row r="71" ht="18" customHeight="1" spans="2:9" x14ac:dyDescent="0.25">
      <c r="B71" s="15" t="s">
        <v>186</v>
      </c>
      <c r="C71" s="10"/>
      <c r="D71" s="2"/>
      <c r="E71" s="33" t="s">
        <v>272</v>
      </c>
      <c r="F71" s="20"/>
      <c r="G71" s="20"/>
      <c r="H71" s="20"/>
      <c r="I71" s="20"/>
    </row>
    <row r="73" ht="18" customHeight="1" spans="2:9" x14ac:dyDescent="0.25">
      <c r="B73" s="31" t="s">
        <v>194</v>
      </c>
      <c r="C73" s="10"/>
      <c r="D73" s="10"/>
      <c r="E73" s="10"/>
      <c r="F73" s="10"/>
      <c r="G73" s="10"/>
      <c r="H73" s="10"/>
      <c r="I73" s="2"/>
    </row>
    <row r="74" ht="18" customHeight="1" spans="2:9" x14ac:dyDescent="0.25">
      <c r="B74" s="15" t="s">
        <v>178</v>
      </c>
      <c r="C74" s="10"/>
      <c r="D74" s="2"/>
      <c r="E74" s="38" t="s">
        <v>273</v>
      </c>
      <c r="F74" s="10"/>
      <c r="G74" s="10"/>
      <c r="H74" s="10"/>
      <c r="I74" s="2"/>
    </row>
    <row r="75" ht="18" customHeight="1" spans="2:9" x14ac:dyDescent="0.25">
      <c r="B75" s="15" t="s">
        <v>180</v>
      </c>
      <c r="C75" s="10"/>
      <c r="D75" s="2"/>
      <c r="E75" s="38" t="s">
        <v>274</v>
      </c>
      <c r="F75" s="10"/>
      <c r="G75" s="10"/>
      <c r="H75" s="10"/>
      <c r="I75" s="2"/>
    </row>
    <row r="76" ht="18" customHeight="1" spans="2:9" x14ac:dyDescent="0.25">
      <c r="B76" s="15" t="s">
        <v>182</v>
      </c>
      <c r="C76" s="10"/>
      <c r="D76" s="2"/>
      <c r="E76" s="38" t="s">
        <v>275</v>
      </c>
      <c r="F76" s="10"/>
      <c r="G76" s="10"/>
      <c r="H76" s="10"/>
      <c r="I76" s="2"/>
    </row>
    <row r="77" ht="18" customHeight="1" spans="2:9" x14ac:dyDescent="0.25">
      <c r="B77" s="15" t="s">
        <v>184</v>
      </c>
      <c r="C77" s="10"/>
      <c r="D77" s="2"/>
      <c r="E77" s="38" t="s">
        <v>276</v>
      </c>
      <c r="F77" s="10"/>
      <c r="G77" s="10"/>
      <c r="H77" s="10"/>
      <c r="I77" s="2"/>
    </row>
    <row r="78" ht="18" customHeight="1" spans="2:9" x14ac:dyDescent="0.25">
      <c r="B78" s="15" t="s">
        <v>186</v>
      </c>
      <c r="C78" s="10"/>
      <c r="D78" s="2"/>
      <c r="E78" s="38" t="s">
        <v>277</v>
      </c>
      <c r="F78" s="10"/>
      <c r="G78" s="10"/>
      <c r="H78" s="10"/>
      <c r="I78" s="2"/>
    </row>
    <row r="80" ht="18" customHeight="1" spans="2:9" x14ac:dyDescent="0.25">
      <c r="B80" s="31" t="s">
        <v>200</v>
      </c>
      <c r="C80" s="10"/>
      <c r="D80" s="10"/>
      <c r="E80" s="10"/>
      <c r="F80" s="10"/>
      <c r="G80" s="10"/>
      <c r="H80" s="10"/>
      <c r="I80" s="2"/>
    </row>
    <row r="81" ht="18" customHeight="1" spans="2:9" x14ac:dyDescent="0.25">
      <c r="B81" s="15" t="s">
        <v>178</v>
      </c>
      <c r="C81" s="10"/>
      <c r="D81" s="2"/>
      <c r="E81" s="28" t="s">
        <v>201</v>
      </c>
      <c r="F81" s="10"/>
      <c r="G81" s="10"/>
      <c r="H81" s="10"/>
      <c r="I81" s="2"/>
    </row>
    <row r="82" ht="18" customHeight="1" spans="2:9" x14ac:dyDescent="0.25">
      <c r="B82" s="15" t="s">
        <v>180</v>
      </c>
      <c r="C82" s="10"/>
      <c r="D82" s="2"/>
      <c r="E82" s="28" t="s">
        <v>202</v>
      </c>
      <c r="F82" s="10"/>
      <c r="G82" s="10"/>
      <c r="H82" s="10"/>
      <c r="I82" s="2"/>
    </row>
    <row r="83" ht="18" customHeight="1" spans="2:9" x14ac:dyDescent="0.25">
      <c r="B83" s="15" t="s">
        <v>182</v>
      </c>
      <c r="C83" s="10"/>
      <c r="D83" s="2"/>
      <c r="E83" s="28" t="s">
        <v>203</v>
      </c>
      <c r="F83" s="10"/>
      <c r="G83" s="10"/>
      <c r="H83" s="10"/>
      <c r="I83" s="2"/>
    </row>
    <row r="84" ht="18" customHeight="1" spans="2:9" x14ac:dyDescent="0.25">
      <c r="B84" s="15" t="s">
        <v>184</v>
      </c>
      <c r="C84" s="10"/>
      <c r="D84" s="2"/>
      <c r="E84" s="28" t="s">
        <v>204</v>
      </c>
      <c r="F84" s="10"/>
      <c r="G84" s="10"/>
      <c r="H84" s="10"/>
      <c r="I84" s="2"/>
    </row>
    <row r="85" ht="18" customHeight="1" spans="2:9" x14ac:dyDescent="0.25">
      <c r="B85" s="15" t="s">
        <v>186</v>
      </c>
      <c r="C85" s="10"/>
      <c r="D85" s="2"/>
      <c r="E85" s="28" t="s">
        <v>205</v>
      </c>
      <c r="F85" s="10"/>
      <c r="G85" s="10"/>
      <c r="H85" s="10"/>
      <c r="I85" s="2"/>
    </row>
    <row r="87" ht="18" customHeight="1" spans="2:9" x14ac:dyDescent="0.25">
      <c r="B87" s="31" t="s">
        <v>206</v>
      </c>
      <c r="C87" s="10"/>
      <c r="D87" s="10"/>
      <c r="E87" s="10"/>
      <c r="F87" s="10"/>
      <c r="G87" s="10"/>
      <c r="H87" s="10"/>
      <c r="I87" s="2"/>
    </row>
    <row r="88" ht="18" customHeight="1" spans="2:9" x14ac:dyDescent="0.25">
      <c r="B88" s="15" t="s">
        <v>178</v>
      </c>
      <c r="C88" s="10"/>
      <c r="D88" s="2"/>
      <c r="E88" s="28" t="s">
        <v>201</v>
      </c>
      <c r="F88" s="10"/>
      <c r="G88" s="10"/>
      <c r="H88" s="10"/>
      <c r="I88" s="2"/>
    </row>
    <row r="89" ht="18" customHeight="1" spans="2:9" x14ac:dyDescent="0.25">
      <c r="B89" s="15" t="s">
        <v>180</v>
      </c>
      <c r="C89" s="10"/>
      <c r="D89" s="2"/>
      <c r="E89" s="28" t="s">
        <v>202</v>
      </c>
      <c r="F89" s="10"/>
      <c r="G89" s="10"/>
      <c r="H89" s="10"/>
      <c r="I89" s="2"/>
    </row>
    <row r="90" ht="18" customHeight="1" spans="2:9" x14ac:dyDescent="0.25">
      <c r="B90" s="15" t="s">
        <v>182</v>
      </c>
      <c r="C90" s="10"/>
      <c r="D90" s="2"/>
      <c r="E90" s="28" t="s">
        <v>203</v>
      </c>
      <c r="F90" s="10"/>
      <c r="G90" s="10"/>
      <c r="H90" s="10"/>
      <c r="I90" s="2"/>
    </row>
    <row r="91" ht="18" customHeight="1" spans="2:9" x14ac:dyDescent="0.25">
      <c r="B91" s="15" t="s">
        <v>184</v>
      </c>
      <c r="C91" s="10"/>
      <c r="D91" s="2"/>
      <c r="E91" s="28" t="s">
        <v>204</v>
      </c>
      <c r="F91" s="10"/>
      <c r="G91" s="10"/>
      <c r="H91" s="10"/>
      <c r="I91" s="2"/>
    </row>
    <row r="92" ht="18" customHeight="1" spans="2:9" x14ac:dyDescent="0.25">
      <c r="B92" s="15" t="s">
        <v>186</v>
      </c>
      <c r="C92" s="10"/>
      <c r="D92" s="2"/>
      <c r="E92" s="28" t="s">
        <v>205</v>
      </c>
      <c r="F92" s="10"/>
      <c r="G92" s="10"/>
      <c r="H92" s="10"/>
      <c r="I92" s="2"/>
    </row>
    <row r="94" ht="15.75" customHeight="1" spans="2:9" x14ac:dyDescent="0.25">
      <c r="B94" s="34" t="s">
        <v>278</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hyperlinks>
    <hyperlink ref="I10" r:id="rId1"/>
    <hyperlink ref="I11" r:id="rId2"/>
  </hyperlink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workbookViewId="0" showGridLines="0" zoomScale="85" zoomScaleNormal="85">
      <selection activeCell="E81" sqref="E81"/>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2:9" x14ac:dyDescent="0.25">
      <c r="B2" s="18" t="s">
        <v>79</v>
      </c>
      <c r="C2" s="10"/>
      <c r="D2" s="10"/>
      <c r="E2" s="10"/>
      <c r="F2" s="10"/>
      <c r="G2" s="10"/>
      <c r="H2" s="10"/>
      <c r="I2" s="2"/>
    </row>
    <row r="3" ht="15.75" customHeight="1" spans="2:9" x14ac:dyDescent="0.25">
      <c r="B3" s="19" t="s">
        <v>80</v>
      </c>
      <c r="C3" s="20"/>
      <c r="D3" s="20"/>
      <c r="E3" s="20"/>
      <c r="F3" s="20"/>
      <c r="G3" s="20"/>
      <c r="H3" s="20"/>
      <c r="I3" s="20"/>
    </row>
    <row r="5" ht="21.75" customHeight="1" spans="2:9" x14ac:dyDescent="0.25">
      <c r="B5" s="6" t="s">
        <v>81</v>
      </c>
      <c r="C5" s="10"/>
      <c r="D5" s="10"/>
      <c r="E5" s="10"/>
      <c r="F5" s="10"/>
      <c r="G5" s="10"/>
      <c r="H5" s="10"/>
      <c r="I5" s="2"/>
    </row>
    <row r="6" ht="13.5" customHeight="1" spans="2:9" x14ac:dyDescent="0.25">
      <c r="B6" s="21" t="s">
        <v>82</v>
      </c>
      <c r="C6" s="20"/>
      <c r="D6" s="20"/>
      <c r="E6" s="20"/>
      <c r="F6" s="20"/>
      <c r="G6" s="20"/>
      <c r="H6" s="20"/>
      <c r="I6" s="20"/>
    </row>
    <row r="7" ht="19.5" customHeight="1" spans="2:9" x14ac:dyDescent="0.25">
      <c r="B7" s="12" t="s">
        <v>83</v>
      </c>
      <c r="C7" s="12" t="s">
        <v>84</v>
      </c>
      <c r="D7" s="12" t="s">
        <v>85</v>
      </c>
      <c r="E7" s="12" t="s">
        <v>86</v>
      </c>
      <c r="F7" s="12" t="s">
        <v>87</v>
      </c>
      <c r="G7" s="12" t="s">
        <v>88</v>
      </c>
      <c r="H7" s="12" t="s">
        <v>89</v>
      </c>
      <c r="I7" s="12" t="s">
        <v>90</v>
      </c>
    </row>
    <row r="8" ht="18" customHeight="1" spans="2:9" x14ac:dyDescent="0.25">
      <c r="B8" s="5" t="s">
        <v>279</v>
      </c>
      <c r="C8" s="5" t="s">
        <v>52</v>
      </c>
      <c r="D8" s="22" t="s">
        <v>92</v>
      </c>
      <c r="E8" s="5" t="s">
        <v>280</v>
      </c>
      <c r="F8" s="5" t="s">
        <v>281</v>
      </c>
      <c r="G8" s="5" t="s">
        <v>100</v>
      </c>
      <c r="H8" s="5" t="s">
        <v>282</v>
      </c>
      <c r="I8" s="5" t="s">
        <v>283</v>
      </c>
    </row>
    <row r="9" ht="18" customHeight="1" spans="2:9" x14ac:dyDescent="0.25">
      <c r="B9" s="5" t="s">
        <v>279</v>
      </c>
      <c r="C9" s="5" t="s">
        <v>52</v>
      </c>
      <c r="D9" s="22" t="s">
        <v>92</v>
      </c>
      <c r="E9" s="5" t="s">
        <v>284</v>
      </c>
      <c r="F9" s="5" t="s">
        <v>281</v>
      </c>
      <c r="G9" s="5" t="s">
        <v>215</v>
      </c>
      <c r="H9" s="5" t="s">
        <v>285</v>
      </c>
      <c r="I9" s="5" t="s">
        <v>283</v>
      </c>
    </row>
    <row r="10" ht="18" customHeight="1" spans="2:9" x14ac:dyDescent="0.25">
      <c r="B10" s="5" t="s">
        <v>279</v>
      </c>
      <c r="C10" s="22" t="s">
        <v>57</v>
      </c>
      <c r="D10" s="22" t="s">
        <v>92</v>
      </c>
      <c r="E10" t="s">
        <v>286</v>
      </c>
      <c r="F10" s="22" t="s">
        <v>287</v>
      </c>
      <c r="G10" s="5" t="s">
        <v>100</v>
      </c>
      <c r="H10" s="22" t="s">
        <v>288</v>
      </c>
      <c r="I10" s="22" t="s">
        <v>289</v>
      </c>
    </row>
    <row r="11" ht="18" customHeight="1" spans="2:9" x14ac:dyDescent="0.25">
      <c r="B11" s="23">
        <v>46198</v>
      </c>
      <c r="C11" s="22" t="s">
        <v>57</v>
      </c>
      <c r="D11" s="22" t="s">
        <v>92</v>
      </c>
      <c r="E11" s="22" t="s">
        <v>290</v>
      </c>
      <c r="F11" s="22" t="s">
        <v>291</v>
      </c>
      <c r="G11" s="22" t="s">
        <v>100</v>
      </c>
      <c r="H11" s="22" t="s">
        <v>292</v>
      </c>
      <c r="I11" s="22" t="s">
        <v>293</v>
      </c>
    </row>
    <row r="12" ht="18" customHeight="1" spans="2:9" x14ac:dyDescent="0.25">
      <c r="B12" s="23">
        <v>46198</v>
      </c>
      <c r="C12" s="22" t="s">
        <v>62</v>
      </c>
      <c r="D12" s="22" t="s">
        <v>92</v>
      </c>
      <c r="E12" s="22" t="s">
        <v>294</v>
      </c>
      <c r="F12" s="22" t="s">
        <v>295</v>
      </c>
      <c r="G12" s="22" t="s">
        <v>95</v>
      </c>
      <c r="H12" s="22" t="s">
        <v>296</v>
      </c>
      <c r="I12" s="22" t="s">
        <v>297</v>
      </c>
    </row>
    <row r="13" ht="18" customHeight="1" spans="2:9" x14ac:dyDescent="0.25">
      <c r="B13" s="23">
        <v>46198</v>
      </c>
      <c r="C13" s="22" t="s">
        <v>62</v>
      </c>
      <c r="D13" s="22" t="s">
        <v>92</v>
      </c>
      <c r="E13" s="22" t="s">
        <v>298</v>
      </c>
      <c r="F13" s="22" t="s">
        <v>246</v>
      </c>
      <c r="G13" s="22" t="s">
        <v>95</v>
      </c>
      <c r="H13" s="22" t="s">
        <v>299</v>
      </c>
      <c r="I13" s="22" t="s">
        <v>300</v>
      </c>
    </row>
    <row r="14" ht="18" customHeight="1" spans="2:9" x14ac:dyDescent="0.25">
      <c r="B14" s="5"/>
      <c r="C14" s="5"/>
      <c r="D14" s="5"/>
      <c r="E14" s="5"/>
      <c r="F14" s="5"/>
      <c r="G14" s="5"/>
      <c r="H14" s="5"/>
      <c r="I14" s="5"/>
    </row>
    <row r="15" ht="18" customHeight="1" spans="2:9" x14ac:dyDescent="0.25">
      <c r="B15" s="5"/>
      <c r="C15" s="5"/>
      <c r="D15" s="5"/>
      <c r="E15" s="5"/>
      <c r="F15" s="5"/>
      <c r="G15" s="5"/>
      <c r="H15" s="5"/>
      <c r="I15" s="5"/>
    </row>
    <row r="17" ht="21.75" customHeight="1" spans="2:9" x14ac:dyDescent="0.25">
      <c r="B17" s="8" t="s">
        <v>127</v>
      </c>
      <c r="C17" s="10"/>
      <c r="D17" s="10"/>
      <c r="E17" s="10"/>
      <c r="F17" s="10"/>
      <c r="G17" s="10"/>
      <c r="H17" s="10"/>
      <c r="I17" s="2"/>
    </row>
    <row r="18" ht="13.5" customHeight="1" spans="2:9" x14ac:dyDescent="0.25">
      <c r="B18" s="21" t="s">
        <v>31</v>
      </c>
      <c r="C18" s="20"/>
      <c r="D18" s="20"/>
      <c r="E18" s="20"/>
      <c r="F18" s="20"/>
      <c r="G18" s="20"/>
      <c r="H18" s="20"/>
      <c r="I18" s="20"/>
    </row>
    <row r="19" ht="19.5" customHeight="1" spans="2:9" x14ac:dyDescent="0.25">
      <c r="B19" s="24" t="s">
        <v>128</v>
      </c>
      <c r="C19" s="24" t="s">
        <v>84</v>
      </c>
      <c r="D19" s="24" t="s">
        <v>129</v>
      </c>
      <c r="E19" s="10"/>
      <c r="F19" s="2"/>
      <c r="G19" s="24" t="s">
        <v>130</v>
      </c>
      <c r="H19" s="2"/>
      <c r="I19" s="24" t="s">
        <v>51</v>
      </c>
    </row>
    <row r="20" ht="15.75" customHeight="1" spans="2:9" x14ac:dyDescent="0.25">
      <c r="B20" s="25" t="s">
        <v>131</v>
      </c>
      <c r="C20" s="10"/>
      <c r="D20" s="10"/>
      <c r="E20" s="10"/>
      <c r="F20" s="10"/>
      <c r="G20" s="10"/>
      <c r="H20" s="10"/>
      <c r="I20" s="2"/>
    </row>
    <row r="21" ht="18" customHeight="1" spans="2:9" x14ac:dyDescent="0.25">
      <c r="B21" s="5"/>
      <c r="C21" s="22" t="s">
        <v>62</v>
      </c>
      <c r="D21" s="5"/>
      <c r="E21" s="22" t="s">
        <v>301</v>
      </c>
      <c r="F21" s="5"/>
      <c r="G21" s="5"/>
      <c r="H21" s="22" t="s">
        <v>295</v>
      </c>
      <c r="I21" s="22" t="s">
        <v>302</v>
      </c>
    </row>
    <row r="22" ht="18" customHeight="1" spans="2:9" x14ac:dyDescent="0.25">
      <c r="B22" s="5"/>
      <c r="C22" s="22" t="s">
        <v>62</v>
      </c>
      <c r="D22" s="5"/>
      <c r="E22" s="22" t="s">
        <v>303</v>
      </c>
      <c r="F22" s="5"/>
      <c r="G22" s="5"/>
      <c r="H22" s="22" t="s">
        <v>304</v>
      </c>
      <c r="I22" s="22" t="s">
        <v>305</v>
      </c>
    </row>
    <row r="23" ht="18" customHeight="1" spans="2:9" x14ac:dyDescent="0.25">
      <c r="B23" s="5"/>
      <c r="C23" s="5"/>
      <c r="D23" s="5"/>
      <c r="E23" s="5"/>
      <c r="F23" s="5"/>
      <c r="G23" s="5"/>
      <c r="H23" s="5"/>
      <c r="I23" s="5"/>
    </row>
    <row r="24" ht="15.75" customHeight="1" spans="2:9" x14ac:dyDescent="0.25">
      <c r="B24" s="25" t="s">
        <v>139</v>
      </c>
      <c r="C24" s="10"/>
      <c r="D24" s="10"/>
      <c r="E24" s="10"/>
      <c r="F24" s="10"/>
      <c r="G24" s="10"/>
      <c r="H24" s="10"/>
      <c r="I24" s="2"/>
    </row>
    <row r="25" ht="18" customHeight="1" spans="2:9" x14ac:dyDescent="0.25">
      <c r="B25" s="5"/>
      <c r="C25" s="5" t="s">
        <v>52</v>
      </c>
      <c r="D25" s="22"/>
      <c r="E25" s="22" t="s">
        <v>306</v>
      </c>
      <c r="F25" s="5"/>
      <c r="G25" s="5" t="s">
        <v>281</v>
      </c>
      <c r="H25" s="5"/>
      <c r="I25" s="5" t="s">
        <v>307</v>
      </c>
    </row>
    <row r="26" ht="18" customHeight="1" spans="2:9" x14ac:dyDescent="0.25">
      <c r="B26" s="5"/>
      <c r="C26" s="22" t="s">
        <v>62</v>
      </c>
      <c r="D26" s="22"/>
      <c r="E26" s="22" t="s">
        <v>308</v>
      </c>
      <c r="F26" s="5"/>
      <c r="G26" s="5"/>
      <c r="H26" s="22" t="s">
        <v>246</v>
      </c>
      <c r="I26" s="22" t="s">
        <v>309</v>
      </c>
    </row>
    <row r="27" ht="18" customHeight="1" spans="2:9" x14ac:dyDescent="0.25">
      <c r="B27" s="5"/>
      <c r="C27" s="22" t="s">
        <v>57</v>
      </c>
      <c r="D27" s="22"/>
      <c r="E27" s="22" t="s">
        <v>310</v>
      </c>
      <c r="F27" s="5"/>
      <c r="G27" s="22" t="s">
        <v>311</v>
      </c>
      <c r="H27" s="5"/>
      <c r="I27" s="22" t="s">
        <v>312</v>
      </c>
    </row>
    <row r="28" ht="15.75" customHeight="1" spans="2:9" x14ac:dyDescent="0.25">
      <c r="B28" s="39"/>
      <c r="C28" s="10"/>
      <c r="D28" s="10"/>
      <c r="E28" s="10"/>
      <c r="F28" s="10"/>
      <c r="G28" s="10"/>
      <c r="H28" s="10"/>
      <c r="I28" s="2"/>
    </row>
    <row r="29" ht="18" customHeight="1" spans="2:9" x14ac:dyDescent="0.25">
      <c r="B29" s="5"/>
      <c r="C29" s="5"/>
      <c r="D29" s="5"/>
      <c r="E29" s="5"/>
      <c r="F29" s="5"/>
      <c r="G29" s="5"/>
      <c r="H29" s="5"/>
      <c r="I29" s="5"/>
    </row>
    <row r="30" ht="18" customHeight="1" spans="2:9" x14ac:dyDescent="0.25">
      <c r="B30" s="5"/>
      <c r="C30" s="5"/>
      <c r="D30" s="5"/>
      <c r="E30" s="5"/>
      <c r="F30" s="5"/>
      <c r="G30" s="5"/>
      <c r="H30" s="5"/>
      <c r="I30" s="5"/>
    </row>
    <row r="31" ht="18" customHeight="1" spans="2:9" x14ac:dyDescent="0.25">
      <c r="B31" s="5"/>
      <c r="C31" s="5"/>
      <c r="D31" s="5"/>
      <c r="E31" s="5"/>
      <c r="F31" s="5"/>
      <c r="G31" s="5"/>
      <c r="H31" s="5"/>
      <c r="I31" s="5"/>
    </row>
    <row r="32" ht="15.75" customHeight="1" spans="2:9" x14ac:dyDescent="0.25">
      <c r="B32" s="25" t="s">
        <v>149</v>
      </c>
      <c r="C32" s="10"/>
      <c r="D32" s="10"/>
      <c r="E32" s="10"/>
      <c r="F32" s="10"/>
      <c r="G32" s="10"/>
      <c r="H32" s="10"/>
      <c r="I32" s="2"/>
    </row>
    <row r="33" ht="18" customHeight="1" spans="2:9" x14ac:dyDescent="0.25">
      <c r="B33" s="5"/>
      <c r="C33" s="5"/>
      <c r="D33" s="5"/>
      <c r="E33" s="5"/>
      <c r="F33" s="5"/>
      <c r="G33" s="5"/>
      <c r="H33" s="5"/>
      <c r="I33" s="5"/>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2:9" x14ac:dyDescent="0.25">
      <c r="B37" s="7" t="s">
        <v>150</v>
      </c>
      <c r="C37" s="10"/>
      <c r="D37" s="10"/>
      <c r="E37" s="10"/>
      <c r="F37" s="10"/>
      <c r="G37" s="10"/>
      <c r="H37" s="10"/>
      <c r="I37" s="2"/>
    </row>
    <row r="38" ht="13.5" customHeight="1" spans="2:9" x14ac:dyDescent="0.25">
      <c r="B38" s="21" t="s">
        <v>151</v>
      </c>
      <c r="C38" s="20"/>
      <c r="D38" s="20"/>
      <c r="E38" s="20"/>
      <c r="F38" s="20"/>
      <c r="G38" s="20"/>
      <c r="H38" s="20"/>
      <c r="I38" s="20"/>
    </row>
    <row r="39" ht="19.5" customHeight="1" spans="2:9" x14ac:dyDescent="0.25">
      <c r="B39" s="26" t="s">
        <v>152</v>
      </c>
      <c r="C39" s="26" t="s">
        <v>153</v>
      </c>
      <c r="D39" s="26" t="s">
        <v>154</v>
      </c>
      <c r="E39" s="26" t="s">
        <v>155</v>
      </c>
      <c r="F39" s="10"/>
      <c r="G39" s="10"/>
      <c r="H39" s="10"/>
      <c r="I39" s="2"/>
    </row>
    <row r="40" ht="21.75" customHeight="1" spans="2:9" x14ac:dyDescent="0.25">
      <c r="B40" s="27" t="s">
        <v>313</v>
      </c>
      <c r="C40" s="10"/>
      <c r="D40" s="2"/>
      <c r="E40" s="5" t="s">
        <v>314</v>
      </c>
      <c r="F40" s="10"/>
      <c r="G40" s="10"/>
      <c r="H40" s="10"/>
      <c r="I40" s="2"/>
    </row>
    <row r="41" ht="21.75" customHeight="1" spans="2:9" x14ac:dyDescent="0.25">
      <c r="B41" s="28" t="s">
        <v>158</v>
      </c>
      <c r="C41" s="10"/>
      <c r="D41" s="2"/>
      <c r="E41" s="5" t="s">
        <v>315</v>
      </c>
      <c r="F41" s="10"/>
      <c r="G41" s="10"/>
      <c r="H41" s="10"/>
      <c r="I41" s="2"/>
    </row>
    <row r="42" ht="21.75" customHeight="1" spans="2:9" x14ac:dyDescent="0.25">
      <c r="B42" s="28" t="s">
        <v>160</v>
      </c>
      <c r="C42" s="10"/>
      <c r="D42" s="2"/>
      <c r="E42" s="5" t="s">
        <v>316</v>
      </c>
      <c r="F42" s="10"/>
      <c r="G42" s="10"/>
      <c r="H42" s="10"/>
      <c r="I42" s="2"/>
    </row>
    <row r="43" ht="21.75" customHeight="1" spans="2:9" x14ac:dyDescent="0.25">
      <c r="B43" s="28" t="s">
        <v>162</v>
      </c>
      <c r="C43" s="10"/>
      <c r="D43" s="2"/>
      <c r="E43" s="5" t="s">
        <v>317</v>
      </c>
      <c r="F43" s="10"/>
      <c r="G43" s="10"/>
      <c r="H43" s="10"/>
      <c r="I43" s="2"/>
    </row>
    <row r="44" ht="21.75" customHeight="1" spans="2:9" x14ac:dyDescent="0.25">
      <c r="B44" s="29" t="s">
        <v>318</v>
      </c>
      <c r="C44" s="10"/>
      <c r="D44" s="2"/>
      <c r="E44" s="22" t="s">
        <v>319</v>
      </c>
      <c r="F44" s="10"/>
      <c r="G44" s="10"/>
      <c r="H44" s="10"/>
      <c r="I44" s="2"/>
    </row>
    <row r="45" ht="21.75" customHeight="1" spans="2:9" x14ac:dyDescent="0.25">
      <c r="B45" s="28" t="s">
        <v>158</v>
      </c>
      <c r="C45" s="10"/>
      <c r="D45" s="2"/>
      <c r="E45" s="22" t="s">
        <v>320</v>
      </c>
      <c r="F45" s="10"/>
      <c r="G45" s="10"/>
      <c r="H45" s="10"/>
      <c r="I45" s="2"/>
    </row>
    <row r="46" ht="21.75" customHeight="1" spans="2:9" x14ac:dyDescent="0.25">
      <c r="B46" s="28" t="s">
        <v>160</v>
      </c>
      <c r="C46" s="10"/>
      <c r="D46" s="2"/>
      <c r="E46" s="22" t="s">
        <v>321</v>
      </c>
      <c r="F46" s="10"/>
      <c r="G46" s="10"/>
      <c r="H46" s="10"/>
      <c r="I46" s="2"/>
    </row>
    <row r="47" ht="21.75" customHeight="1" spans="2:9" x14ac:dyDescent="0.25">
      <c r="B47" s="28" t="s">
        <v>162</v>
      </c>
      <c r="C47" s="10"/>
      <c r="D47" s="2"/>
      <c r="E47" s="22" t="s">
        <v>322</v>
      </c>
      <c r="F47" s="10"/>
      <c r="G47" s="10"/>
      <c r="H47" s="10"/>
      <c r="I47" s="2"/>
    </row>
    <row r="48" ht="21.75" customHeight="1" spans="2:9" x14ac:dyDescent="0.25">
      <c r="B48" s="29" t="s">
        <v>323</v>
      </c>
      <c r="C48" s="10"/>
      <c r="D48" s="2"/>
      <c r="E48" s="22" t="s">
        <v>324</v>
      </c>
      <c r="F48" s="10"/>
      <c r="G48" s="10"/>
      <c r="H48" s="10"/>
      <c r="I48" s="2"/>
    </row>
    <row r="49" ht="21.75" customHeight="1" spans="2:9" x14ac:dyDescent="0.25">
      <c r="B49" s="28" t="s">
        <v>158</v>
      </c>
      <c r="C49" s="10"/>
      <c r="D49" s="2"/>
      <c r="E49" s="22" t="s">
        <v>325</v>
      </c>
      <c r="F49" s="10"/>
      <c r="G49" s="10"/>
      <c r="H49" s="10"/>
      <c r="I49" s="2"/>
    </row>
    <row r="50" ht="21.75" customHeight="1" spans="2:9" x14ac:dyDescent="0.25">
      <c r="B50" s="28" t="s">
        <v>160</v>
      </c>
      <c r="C50" s="10"/>
      <c r="D50" s="2"/>
      <c r="E50" s="22" t="s">
        <v>326</v>
      </c>
      <c r="F50" s="10"/>
      <c r="G50" s="10"/>
      <c r="H50" s="10"/>
      <c r="I50" s="2"/>
    </row>
    <row r="51" ht="21.75" customHeight="1" spans="2:9" x14ac:dyDescent="0.25">
      <c r="B51" s="28" t="s">
        <v>162</v>
      </c>
      <c r="C51" s="10"/>
      <c r="D51" s="2"/>
      <c r="E51" s="22" t="s">
        <v>327</v>
      </c>
      <c r="F51" s="10"/>
      <c r="G51" s="10"/>
      <c r="H51" s="10"/>
      <c r="I51" s="2"/>
    </row>
    <row r="52" ht="21.75" customHeight="1" spans="2:9" x14ac:dyDescent="0.25">
      <c r="B52" s="27" t="s">
        <v>174</v>
      </c>
      <c r="C52" s="10"/>
      <c r="D52" s="2"/>
      <c r="E52" s="5"/>
      <c r="F52" s="10"/>
      <c r="G52" s="10"/>
      <c r="H52" s="10"/>
      <c r="I52" s="2"/>
    </row>
    <row r="53" ht="21.75" customHeight="1" spans="2:9" x14ac:dyDescent="0.25">
      <c r="B53" s="28" t="s">
        <v>158</v>
      </c>
      <c r="C53" s="10"/>
      <c r="D53" s="2"/>
      <c r="E53" s="5"/>
      <c r="F53" s="10"/>
      <c r="G53" s="10"/>
      <c r="H53" s="10"/>
      <c r="I53" s="2"/>
    </row>
    <row r="54" ht="21.75" customHeight="1" spans="2:9" x14ac:dyDescent="0.25">
      <c r="B54" s="28" t="s">
        <v>160</v>
      </c>
      <c r="C54" s="10"/>
      <c r="D54" s="2"/>
      <c r="E54" s="5"/>
      <c r="F54" s="10"/>
      <c r="G54" s="10"/>
      <c r="H54" s="10"/>
      <c r="I54" s="2"/>
    </row>
    <row r="55" ht="21.75" customHeight="1" spans="2:9" x14ac:dyDescent="0.25">
      <c r="B55" s="28" t="s">
        <v>162</v>
      </c>
      <c r="C55" s="10"/>
      <c r="D55" s="2"/>
      <c r="E55" s="5"/>
      <c r="F55" s="10"/>
      <c r="G55" s="10"/>
      <c r="H55" s="10"/>
      <c r="I55" s="2"/>
    </row>
    <row r="56" spans="5:9" x14ac:dyDescent="0.25">
      <c r="E56" s="5"/>
      <c r="F56" s="10"/>
      <c r="G56" s="10"/>
      <c r="H56" s="10"/>
      <c r="I56" s="2"/>
    </row>
    <row r="57" ht="21.75" customHeight="1" spans="2:9" x14ac:dyDescent="0.25">
      <c r="B57" s="30" t="s">
        <v>175</v>
      </c>
      <c r="C57" s="10"/>
      <c r="D57" s="10"/>
      <c r="E57" s="10"/>
      <c r="F57" s="10"/>
      <c r="G57" s="10"/>
      <c r="H57" s="10"/>
      <c r="I57" s="2"/>
    </row>
    <row r="58" ht="13.5" customHeight="1" spans="2:9" x14ac:dyDescent="0.25">
      <c r="B58" s="21" t="s">
        <v>176</v>
      </c>
      <c r="C58" s="20"/>
      <c r="D58" s="20"/>
      <c r="E58" s="20"/>
      <c r="F58" s="20"/>
      <c r="G58" s="20"/>
      <c r="H58" s="20"/>
      <c r="I58" s="20"/>
    </row>
    <row r="59" ht="18" customHeight="1" spans="2:9" x14ac:dyDescent="0.25">
      <c r="B59" s="31" t="s">
        <v>177</v>
      </c>
      <c r="C59" s="10"/>
      <c r="D59" s="10"/>
      <c r="E59" s="10"/>
      <c r="F59" s="10"/>
      <c r="G59" s="10"/>
      <c r="H59" s="10"/>
      <c r="I59" s="2"/>
    </row>
    <row r="60" ht="18" customHeight="1" spans="2:9" x14ac:dyDescent="0.25">
      <c r="B60" s="15" t="s">
        <v>178</v>
      </c>
      <c r="C60" s="10"/>
      <c r="D60" s="2"/>
      <c r="E60" s="32" t="s">
        <v>328</v>
      </c>
      <c r="F60" s="20"/>
      <c r="G60" s="20"/>
      <c r="H60" s="20"/>
      <c r="I60" s="20"/>
    </row>
    <row r="61" ht="18" customHeight="1" spans="2:9" x14ac:dyDescent="0.25">
      <c r="B61" s="15" t="s">
        <v>180</v>
      </c>
      <c r="C61" s="10"/>
      <c r="D61" s="2"/>
      <c r="E61" s="32" t="s">
        <v>329</v>
      </c>
      <c r="F61" s="20"/>
      <c r="G61" s="20"/>
      <c r="H61" s="20"/>
      <c r="I61" s="20"/>
    </row>
    <row r="62" ht="18" customHeight="1" spans="2:9" x14ac:dyDescent="0.25">
      <c r="B62" s="15" t="s">
        <v>182</v>
      </c>
      <c r="C62" s="10"/>
      <c r="D62" s="2"/>
      <c r="E62" s="32" t="s">
        <v>330</v>
      </c>
      <c r="F62" s="20"/>
      <c r="G62" s="20"/>
      <c r="H62" s="20"/>
      <c r="I62" s="20"/>
    </row>
    <row r="63" ht="18" customHeight="1" spans="2:9" x14ac:dyDescent="0.25">
      <c r="B63" s="15" t="s">
        <v>184</v>
      </c>
      <c r="C63" s="10"/>
      <c r="D63" s="2"/>
      <c r="E63" s="32" t="s">
        <v>331</v>
      </c>
      <c r="F63" s="20"/>
      <c r="G63" s="20"/>
      <c r="H63" s="20"/>
      <c r="I63" s="20"/>
    </row>
    <row r="64" ht="18" customHeight="1" spans="2:9" x14ac:dyDescent="0.25">
      <c r="B64" s="15" t="s">
        <v>186</v>
      </c>
      <c r="C64" s="10"/>
      <c r="D64" s="2"/>
      <c r="E64" s="32" t="s">
        <v>332</v>
      </c>
      <c r="F64" s="20"/>
      <c r="G64" s="20"/>
      <c r="H64" s="20"/>
      <c r="I64" s="20"/>
    </row>
    <row r="66" ht="18" customHeight="1" spans="2:9" x14ac:dyDescent="0.25">
      <c r="B66" s="31" t="s">
        <v>188</v>
      </c>
      <c r="C66" s="10"/>
      <c r="D66" s="10"/>
      <c r="E66" s="10"/>
      <c r="F66" s="10"/>
      <c r="G66" s="10"/>
      <c r="H66" s="10"/>
      <c r="I66" s="2"/>
    </row>
    <row r="67" ht="18" customHeight="1" spans="2:9" x14ac:dyDescent="0.25">
      <c r="B67" s="15" t="s">
        <v>178</v>
      </c>
      <c r="C67" s="10"/>
      <c r="D67" s="2"/>
      <c r="E67" s="33" t="s">
        <v>333</v>
      </c>
      <c r="F67" s="20"/>
      <c r="G67" s="20"/>
      <c r="H67" s="20"/>
      <c r="I67" s="20"/>
    </row>
    <row r="68" ht="18" customHeight="1" spans="2:9" x14ac:dyDescent="0.25">
      <c r="B68" s="15" t="s">
        <v>180</v>
      </c>
      <c r="C68" s="10"/>
      <c r="D68" s="2"/>
      <c r="E68" s="33" t="s">
        <v>334</v>
      </c>
      <c r="F68" s="20"/>
      <c r="G68" s="20"/>
      <c r="H68" s="20"/>
      <c r="I68" s="20"/>
    </row>
    <row r="69" ht="18" customHeight="1" spans="2:9" x14ac:dyDescent="0.25">
      <c r="B69" s="15" t="s">
        <v>182</v>
      </c>
      <c r="C69" s="10"/>
      <c r="D69" s="2"/>
      <c r="E69" s="33" t="s">
        <v>335</v>
      </c>
      <c r="F69" s="20"/>
      <c r="G69" s="20"/>
      <c r="H69" s="20"/>
      <c r="I69" s="20"/>
    </row>
    <row r="70" ht="18" customHeight="1" spans="2:9" x14ac:dyDescent="0.25">
      <c r="B70" s="15" t="s">
        <v>184</v>
      </c>
      <c r="C70" s="10"/>
      <c r="D70" s="2"/>
      <c r="E70" s="33" t="s">
        <v>336</v>
      </c>
      <c r="F70" s="20"/>
      <c r="G70" s="20"/>
      <c r="H70" s="20"/>
      <c r="I70" s="20"/>
    </row>
    <row r="71" ht="18" customHeight="1" spans="2:9" x14ac:dyDescent="0.25">
      <c r="B71" s="15" t="s">
        <v>186</v>
      </c>
      <c r="C71" s="10"/>
      <c r="D71" s="2"/>
      <c r="E71" s="33" t="s">
        <v>337</v>
      </c>
      <c r="F71" s="20"/>
      <c r="G71" s="20"/>
      <c r="H71" s="20"/>
      <c r="I71" s="20"/>
    </row>
    <row r="73" ht="18" customHeight="1" spans="2:9" x14ac:dyDescent="0.25">
      <c r="B73" s="31" t="s">
        <v>194</v>
      </c>
      <c r="C73" s="10"/>
      <c r="D73" s="10"/>
      <c r="E73" s="10"/>
      <c r="F73" s="10"/>
      <c r="G73" s="10"/>
      <c r="H73" s="10"/>
      <c r="I73" s="2"/>
    </row>
    <row r="74" ht="18" customHeight="1" spans="2:9" x14ac:dyDescent="0.25">
      <c r="B74" s="15" t="s">
        <v>178</v>
      </c>
      <c r="C74" s="10"/>
      <c r="D74" s="2"/>
      <c r="E74" s="38" t="s">
        <v>338</v>
      </c>
      <c r="F74" s="10"/>
      <c r="G74" s="10"/>
      <c r="H74" s="10"/>
      <c r="I74" s="2"/>
    </row>
    <row r="75" ht="18" customHeight="1" spans="2:9" x14ac:dyDescent="0.25">
      <c r="B75" s="15" t="s">
        <v>180</v>
      </c>
      <c r="C75" s="10"/>
      <c r="D75" s="2"/>
      <c r="E75" s="38" t="s">
        <v>339</v>
      </c>
      <c r="F75" s="10"/>
      <c r="G75" s="10"/>
      <c r="H75" s="10"/>
      <c r="I75" s="2"/>
    </row>
    <row r="76" ht="18" customHeight="1" spans="2:9" x14ac:dyDescent="0.25">
      <c r="B76" s="15" t="s">
        <v>182</v>
      </c>
      <c r="C76" s="10"/>
      <c r="D76" s="2"/>
      <c r="E76" s="38" t="s">
        <v>340</v>
      </c>
      <c r="F76" s="10"/>
      <c r="G76" s="10"/>
      <c r="H76" s="10"/>
      <c r="I76" s="2"/>
    </row>
    <row r="77" ht="18" customHeight="1" spans="2:9" x14ac:dyDescent="0.25">
      <c r="B77" s="15" t="s">
        <v>184</v>
      </c>
      <c r="C77" s="10"/>
      <c r="D77" s="2"/>
      <c r="E77" s="38" t="s">
        <v>341</v>
      </c>
      <c r="F77" s="10"/>
      <c r="G77" s="10"/>
      <c r="H77" s="10"/>
      <c r="I77" s="2"/>
    </row>
    <row r="78" ht="18" customHeight="1" spans="2:9" x14ac:dyDescent="0.25">
      <c r="B78" s="15" t="s">
        <v>186</v>
      </c>
      <c r="C78" s="10"/>
      <c r="D78" s="2"/>
      <c r="E78" s="38" t="s">
        <v>342</v>
      </c>
      <c r="F78" s="10"/>
      <c r="G78" s="10"/>
      <c r="H78" s="10"/>
      <c r="I78" s="2"/>
    </row>
    <row r="80" ht="18" customHeight="1" spans="2:9" x14ac:dyDescent="0.25">
      <c r="B80" s="31" t="s">
        <v>200</v>
      </c>
      <c r="C80" s="10"/>
      <c r="D80" s="10"/>
      <c r="E80" s="10"/>
      <c r="F80" s="10"/>
      <c r="G80" s="10"/>
      <c r="H80" s="10"/>
      <c r="I80" s="2"/>
    </row>
    <row r="81" ht="18" customHeight="1" spans="2:9" x14ac:dyDescent="0.25">
      <c r="B81" s="15" t="s">
        <v>178</v>
      </c>
      <c r="C81" s="10"/>
      <c r="D81" s="2"/>
      <c r="E81" s="28" t="s">
        <v>201</v>
      </c>
      <c r="F81" s="10"/>
      <c r="G81" s="10"/>
      <c r="H81" s="10"/>
      <c r="I81" s="2"/>
    </row>
    <row r="82" ht="18" customHeight="1" spans="2:9" x14ac:dyDescent="0.25">
      <c r="B82" s="15" t="s">
        <v>180</v>
      </c>
      <c r="C82" s="10"/>
      <c r="D82" s="2"/>
      <c r="E82" s="28" t="s">
        <v>202</v>
      </c>
      <c r="F82" s="10"/>
      <c r="G82" s="10"/>
      <c r="H82" s="10"/>
      <c r="I82" s="2"/>
    </row>
    <row r="83" ht="18" customHeight="1" spans="2:9" x14ac:dyDescent="0.25">
      <c r="B83" s="15" t="s">
        <v>182</v>
      </c>
      <c r="C83" s="10"/>
      <c r="D83" s="2"/>
      <c r="E83" s="28" t="s">
        <v>203</v>
      </c>
      <c r="F83" s="10"/>
      <c r="G83" s="10"/>
      <c r="H83" s="10"/>
      <c r="I83" s="2"/>
    </row>
    <row r="84" ht="18" customHeight="1" spans="2:9" x14ac:dyDescent="0.25">
      <c r="B84" s="15" t="s">
        <v>184</v>
      </c>
      <c r="C84" s="10"/>
      <c r="D84" s="2"/>
      <c r="E84" s="28" t="s">
        <v>204</v>
      </c>
      <c r="F84" s="10"/>
      <c r="G84" s="10"/>
      <c r="H84" s="10"/>
      <c r="I84" s="2"/>
    </row>
    <row r="85" ht="18" customHeight="1" spans="2:9" x14ac:dyDescent="0.25">
      <c r="B85" s="15" t="s">
        <v>186</v>
      </c>
      <c r="C85" s="10"/>
      <c r="D85" s="2"/>
      <c r="E85" s="28" t="s">
        <v>205</v>
      </c>
      <c r="F85" s="10"/>
      <c r="G85" s="10"/>
      <c r="H85" s="10"/>
      <c r="I85" s="2"/>
    </row>
    <row r="87" ht="18" customHeight="1" spans="2:9" x14ac:dyDescent="0.25">
      <c r="B87" s="31" t="s">
        <v>206</v>
      </c>
      <c r="C87" s="10"/>
      <c r="D87" s="10"/>
      <c r="E87" s="10"/>
      <c r="F87" s="10"/>
      <c r="G87" s="10"/>
      <c r="H87" s="10"/>
      <c r="I87" s="2"/>
    </row>
    <row r="88" ht="18" customHeight="1" spans="2:9" x14ac:dyDescent="0.25">
      <c r="B88" s="15" t="s">
        <v>178</v>
      </c>
      <c r="C88" s="10"/>
      <c r="D88" s="2"/>
      <c r="E88" s="28" t="s">
        <v>201</v>
      </c>
      <c r="F88" s="10"/>
      <c r="G88" s="10"/>
      <c r="H88" s="10"/>
      <c r="I88" s="2"/>
    </row>
    <row r="89" ht="18" customHeight="1" spans="2:9" x14ac:dyDescent="0.25">
      <c r="B89" s="15" t="s">
        <v>180</v>
      </c>
      <c r="C89" s="10"/>
      <c r="D89" s="2"/>
      <c r="E89" s="28" t="s">
        <v>202</v>
      </c>
      <c r="F89" s="10"/>
      <c r="G89" s="10"/>
      <c r="H89" s="10"/>
      <c r="I89" s="2"/>
    </row>
    <row r="90" ht="18" customHeight="1" spans="2:9" x14ac:dyDescent="0.25">
      <c r="B90" s="15" t="s">
        <v>182</v>
      </c>
      <c r="C90" s="10"/>
      <c r="D90" s="2"/>
      <c r="E90" s="28" t="s">
        <v>203</v>
      </c>
      <c r="F90" s="10"/>
      <c r="G90" s="10"/>
      <c r="H90" s="10"/>
      <c r="I90" s="2"/>
    </row>
    <row r="91" ht="18" customHeight="1" spans="2:9" x14ac:dyDescent="0.25">
      <c r="B91" s="15" t="s">
        <v>184</v>
      </c>
      <c r="C91" s="10"/>
      <c r="D91" s="2"/>
      <c r="E91" s="28" t="s">
        <v>204</v>
      </c>
      <c r="F91" s="10"/>
      <c r="G91" s="10"/>
      <c r="H91" s="10"/>
      <c r="I91" s="2"/>
    </row>
    <row r="92" ht="18" customHeight="1" spans="2:9" x14ac:dyDescent="0.25">
      <c r="B92" s="15" t="s">
        <v>186</v>
      </c>
      <c r="C92" s="10"/>
      <c r="D92" s="2"/>
      <c r="E92" s="28" t="s">
        <v>205</v>
      </c>
      <c r="F92" s="10"/>
      <c r="G92" s="10"/>
      <c r="H92" s="10"/>
      <c r="I92" s="2"/>
    </row>
    <row r="94" ht="15.75" customHeight="1" spans="2:9" x14ac:dyDescent="0.25">
      <c r="B94" s="34" t="s">
        <v>343</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workbookViewId="0" showGridLines="0" zoomScale="100" zoomScaleNormal="100">
      <selection activeCell="E71" sqref="E71"/>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2:9" x14ac:dyDescent="0.25">
      <c r="B2" s="18" t="s">
        <v>79</v>
      </c>
      <c r="C2" s="10"/>
      <c r="D2" s="10"/>
      <c r="E2" s="10"/>
      <c r="F2" s="10"/>
      <c r="G2" s="10"/>
      <c r="H2" s="10"/>
      <c r="I2" s="2"/>
    </row>
    <row r="3" ht="15.75" customHeight="1" spans="2:9" x14ac:dyDescent="0.25">
      <c r="B3" s="19" t="s">
        <v>80</v>
      </c>
      <c r="C3" s="20"/>
      <c r="D3" s="20"/>
      <c r="E3" s="20"/>
      <c r="F3" s="20"/>
      <c r="G3" s="20"/>
      <c r="H3" s="20"/>
      <c r="I3" s="20"/>
    </row>
    <row r="5" ht="21.75" customHeight="1" spans="2:9" x14ac:dyDescent="0.25">
      <c r="B5" s="6" t="s">
        <v>81</v>
      </c>
      <c r="C5" s="10"/>
      <c r="D5" s="10"/>
      <c r="E5" s="10"/>
      <c r="F5" s="10"/>
      <c r="G5" s="10"/>
      <c r="H5" s="10"/>
      <c r="I5" s="2"/>
    </row>
    <row r="6" ht="13.5" customHeight="1" spans="2:9" x14ac:dyDescent="0.25">
      <c r="B6" s="21" t="s">
        <v>82</v>
      </c>
      <c r="C6" s="20"/>
      <c r="D6" s="20"/>
      <c r="E6" s="20"/>
      <c r="F6" s="20"/>
      <c r="G6" s="20"/>
      <c r="H6" s="20"/>
      <c r="I6" s="20"/>
    </row>
    <row r="7" ht="19.5" customHeight="1" spans="2:9" x14ac:dyDescent="0.25">
      <c r="B7" s="12" t="s">
        <v>83</v>
      </c>
      <c r="C7" s="12" t="s">
        <v>84</v>
      </c>
      <c r="D7" s="12" t="s">
        <v>85</v>
      </c>
      <c r="E7" s="12" t="s">
        <v>86</v>
      </c>
      <c r="F7" s="12" t="s">
        <v>87</v>
      </c>
      <c r="G7" s="12" t="s">
        <v>88</v>
      </c>
      <c r="H7" s="12" t="s">
        <v>89</v>
      </c>
      <c r="I7" s="12" t="s">
        <v>90</v>
      </c>
    </row>
    <row r="8" ht="18" customHeight="1" spans="2:9" x14ac:dyDescent="0.25">
      <c r="B8" s="5" t="s">
        <v>344</v>
      </c>
      <c r="C8" s="5" t="s">
        <v>52</v>
      </c>
      <c r="D8" s="5" t="s">
        <v>92</v>
      </c>
      <c r="E8" s="5" t="s">
        <v>345</v>
      </c>
      <c r="F8" s="5" t="s">
        <v>346</v>
      </c>
      <c r="G8" s="5" t="s">
        <v>95</v>
      </c>
      <c r="H8" s="5" t="s">
        <v>347</v>
      </c>
      <c r="I8" s="5" t="s">
        <v>348</v>
      </c>
    </row>
    <row r="9" ht="18" customHeight="1" spans="2:9" x14ac:dyDescent="0.25">
      <c r="B9" s="5" t="s">
        <v>344</v>
      </c>
      <c r="C9" s="5" t="s">
        <v>52</v>
      </c>
      <c r="D9" s="5" t="s">
        <v>92</v>
      </c>
      <c r="E9" s="5" t="s">
        <v>349</v>
      </c>
      <c r="F9" s="5" t="s">
        <v>346</v>
      </c>
      <c r="G9" s="5" t="s">
        <v>100</v>
      </c>
      <c r="H9" s="5" t="s">
        <v>350</v>
      </c>
      <c r="I9" s="5" t="s">
        <v>351</v>
      </c>
    </row>
    <row r="10" ht="18" customHeight="1" spans="2:9" x14ac:dyDescent="0.25">
      <c r="B10" s="5" t="s">
        <v>344</v>
      </c>
      <c r="C10" s="5" t="s">
        <v>57</v>
      </c>
      <c r="D10" s="5" t="s">
        <v>92</v>
      </c>
      <c r="E10" s="5" t="s">
        <v>352</v>
      </c>
      <c r="F10" s="5" t="s">
        <v>353</v>
      </c>
      <c r="G10" s="5" t="s">
        <v>95</v>
      </c>
      <c r="H10" s="5" t="s">
        <v>354</v>
      </c>
      <c r="I10" s="5" t="s">
        <v>355</v>
      </c>
    </row>
    <row r="11" ht="18" customHeight="1" spans="2:9" x14ac:dyDescent="0.25">
      <c r="B11" s="5" t="s">
        <v>344</v>
      </c>
      <c r="C11" s="5" t="s">
        <v>57</v>
      </c>
      <c r="D11" s="5" t="s">
        <v>92</v>
      </c>
      <c r="E11" s="5" t="s">
        <v>356</v>
      </c>
      <c r="F11" s="5" t="s">
        <v>210</v>
      </c>
      <c r="G11" s="5" t="s">
        <v>100</v>
      </c>
      <c r="H11" s="5" t="s">
        <v>357</v>
      </c>
      <c r="I11" s="5" t="s">
        <v>358</v>
      </c>
    </row>
    <row r="12" ht="18" customHeight="1" spans="2:9" x14ac:dyDescent="0.25">
      <c r="B12" s="5" t="s">
        <v>344</v>
      </c>
      <c r="C12" s="5" t="s">
        <v>62</v>
      </c>
      <c r="D12" s="5" t="s">
        <v>92</v>
      </c>
      <c r="E12" s="5" t="s">
        <v>359</v>
      </c>
      <c r="F12" s="5" t="s">
        <v>353</v>
      </c>
      <c r="G12" s="5" t="s">
        <v>95</v>
      </c>
      <c r="H12" s="5" t="s">
        <v>360</v>
      </c>
      <c r="I12" s="5" t="s">
        <v>361</v>
      </c>
    </row>
    <row r="13" ht="18" customHeight="1" spans="2:9" x14ac:dyDescent="0.25">
      <c r="B13" s="5" t="s">
        <v>344</v>
      </c>
      <c r="C13" s="5" t="s">
        <v>62</v>
      </c>
      <c r="D13" s="5" t="s">
        <v>92</v>
      </c>
      <c r="E13" s="5" t="s">
        <v>362</v>
      </c>
      <c r="F13" s="5" t="s">
        <v>363</v>
      </c>
      <c r="G13" s="5" t="s">
        <v>95</v>
      </c>
      <c r="H13" s="5" t="s">
        <v>364</v>
      </c>
      <c r="I13" s="5" t="s">
        <v>365</v>
      </c>
    </row>
    <row r="14" ht="18" customHeight="1" spans="2:9" x14ac:dyDescent="0.25">
      <c r="B14" s="5"/>
      <c r="C14" s="5"/>
      <c r="D14" s="5"/>
      <c r="E14" s="5"/>
      <c r="F14" s="5"/>
      <c r="G14" s="5"/>
      <c r="H14" s="5"/>
      <c r="I14" s="5"/>
    </row>
    <row r="15" ht="18" customHeight="1" spans="2:9" x14ac:dyDescent="0.25">
      <c r="B15" s="5"/>
      <c r="C15" s="5"/>
      <c r="D15" s="5"/>
      <c r="E15" s="5"/>
      <c r="F15" s="5"/>
      <c r="G15" s="5"/>
      <c r="H15" s="5"/>
      <c r="I15" s="5"/>
    </row>
    <row r="17" ht="21.75" customHeight="1" spans="2:9" x14ac:dyDescent="0.25">
      <c r="B17" s="8" t="s">
        <v>127</v>
      </c>
      <c r="C17" s="10"/>
      <c r="D17" s="10"/>
      <c r="E17" s="10"/>
      <c r="F17" s="10"/>
      <c r="G17" s="10"/>
      <c r="H17" s="10"/>
      <c r="I17" s="2"/>
    </row>
    <row r="18" ht="13.5" customHeight="1" spans="2:9" x14ac:dyDescent="0.25">
      <c r="B18" s="21" t="s">
        <v>31</v>
      </c>
      <c r="C18" s="20"/>
      <c r="D18" s="20"/>
      <c r="E18" s="20"/>
      <c r="F18" s="20"/>
      <c r="G18" s="20"/>
      <c r="H18" s="20"/>
      <c r="I18" s="20"/>
    </row>
    <row r="19" ht="19.5" customHeight="1" spans="2:9" x14ac:dyDescent="0.25">
      <c r="B19" s="24" t="s">
        <v>128</v>
      </c>
      <c r="C19" s="24" t="s">
        <v>84</v>
      </c>
      <c r="D19" s="24" t="s">
        <v>129</v>
      </c>
      <c r="E19" s="10"/>
      <c r="F19" s="2"/>
      <c r="G19" s="24" t="s">
        <v>130</v>
      </c>
      <c r="H19" s="2"/>
      <c r="I19" s="24" t="s">
        <v>51</v>
      </c>
    </row>
    <row r="20" ht="15.75" customHeight="1" spans="2:9" x14ac:dyDescent="0.25">
      <c r="B20" s="25" t="s">
        <v>131</v>
      </c>
      <c r="C20" s="10"/>
      <c r="D20" s="10"/>
      <c r="E20" s="10"/>
      <c r="F20" s="10"/>
      <c r="G20" s="10"/>
      <c r="H20" s="10"/>
      <c r="I20" s="2"/>
    </row>
    <row r="21" ht="18" customHeight="1" spans="2:9" x14ac:dyDescent="0.25">
      <c r="B21" s="5"/>
      <c r="C21" s="5" t="s">
        <v>52</v>
      </c>
      <c r="D21" s="5"/>
      <c r="E21" s="5" t="s">
        <v>366</v>
      </c>
      <c r="F21" s="5"/>
      <c r="G21" s="5"/>
      <c r="H21" s="5"/>
      <c r="I21" s="5"/>
    </row>
    <row r="22" ht="18" customHeight="1" spans="2:9" x14ac:dyDescent="0.25">
      <c r="B22" s="5"/>
      <c r="C22" s="5"/>
      <c r="D22" s="5"/>
      <c r="E22" s="5"/>
      <c r="F22" s="5"/>
      <c r="G22" s="5"/>
      <c r="H22" s="5"/>
      <c r="I22" s="5"/>
    </row>
    <row r="23" ht="18" customHeight="1" spans="2:9" x14ac:dyDescent="0.25">
      <c r="B23" s="5"/>
      <c r="C23" s="5"/>
      <c r="D23" s="5"/>
      <c r="E23" s="5"/>
      <c r="F23" s="5"/>
      <c r="G23" s="5"/>
      <c r="H23" s="5"/>
      <c r="I23" s="5"/>
    </row>
    <row r="24" ht="15.75" customHeight="1" spans="2:9" x14ac:dyDescent="0.25">
      <c r="B24" s="25" t="s">
        <v>139</v>
      </c>
      <c r="C24" s="10"/>
      <c r="D24" s="10"/>
      <c r="E24" s="10"/>
      <c r="F24" s="10"/>
      <c r="G24" s="10"/>
      <c r="H24" s="10"/>
      <c r="I24" s="2"/>
    </row>
    <row r="25" ht="18" customHeight="1" spans="2:9" x14ac:dyDescent="0.25">
      <c r="B25" s="5"/>
      <c r="C25" s="5" t="s">
        <v>52</v>
      </c>
      <c r="D25" s="5"/>
      <c r="E25" s="5" t="s">
        <v>367</v>
      </c>
      <c r="F25" s="5"/>
      <c r="G25" s="5"/>
      <c r="H25" s="5"/>
      <c r="I25" s="5"/>
    </row>
    <row r="26" ht="18" customHeight="1" spans="2:9" x14ac:dyDescent="0.25">
      <c r="B26" s="5"/>
      <c r="C26" s="5"/>
      <c r="D26" s="5"/>
      <c r="E26" s="5"/>
      <c r="F26" s="5"/>
      <c r="G26" s="5"/>
      <c r="H26" s="5"/>
      <c r="I26" s="5"/>
    </row>
    <row r="27" ht="18" customHeight="1" spans="2:9" x14ac:dyDescent="0.25">
      <c r="B27" s="5"/>
      <c r="C27" s="5"/>
      <c r="D27" s="5"/>
      <c r="E27" s="5"/>
      <c r="F27" s="5"/>
      <c r="G27" s="5"/>
      <c r="H27" s="5"/>
      <c r="I27" s="5"/>
    </row>
    <row r="28" ht="15.75" customHeight="1" spans="2:9" x14ac:dyDescent="0.25">
      <c r="B28" s="25" t="s">
        <v>148</v>
      </c>
      <c r="C28" s="10"/>
      <c r="D28" s="10"/>
      <c r="E28" s="10"/>
      <c r="F28" s="10"/>
      <c r="G28" s="10"/>
      <c r="H28" s="10"/>
      <c r="I28" s="2"/>
    </row>
    <row r="29" ht="18" customHeight="1" spans="2:9" x14ac:dyDescent="0.25">
      <c r="B29" s="5"/>
      <c r="C29" s="5" t="s">
        <v>52</v>
      </c>
      <c r="D29" s="5"/>
      <c r="E29" s="5" t="s">
        <v>368</v>
      </c>
      <c r="F29" s="5"/>
      <c r="G29" s="5"/>
      <c r="H29" s="5"/>
      <c r="I29" s="5"/>
    </row>
    <row r="30" ht="18" customHeight="1" spans="2:9" x14ac:dyDescent="0.25">
      <c r="B30" s="5"/>
      <c r="C30" s="5"/>
      <c r="D30" s="5"/>
      <c r="E30" s="5"/>
      <c r="F30" s="5"/>
      <c r="G30" s="5"/>
      <c r="H30" s="5"/>
      <c r="I30" s="5"/>
    </row>
    <row r="31" ht="18" customHeight="1" spans="2:9" x14ac:dyDescent="0.25">
      <c r="B31" s="5"/>
      <c r="C31" s="5"/>
      <c r="D31" s="5"/>
      <c r="E31" s="5"/>
      <c r="F31" s="5"/>
      <c r="G31" s="5"/>
      <c r="H31" s="5"/>
      <c r="I31" s="5"/>
    </row>
    <row r="32" ht="15.75" customHeight="1" spans="2:9" x14ac:dyDescent="0.25">
      <c r="B32" s="25" t="s">
        <v>149</v>
      </c>
      <c r="C32" s="10"/>
      <c r="D32" s="10"/>
      <c r="E32" s="10"/>
      <c r="F32" s="10"/>
      <c r="G32" s="10"/>
      <c r="H32" s="10"/>
      <c r="I32" s="2"/>
    </row>
    <row r="33" ht="18" customHeight="1" spans="2:9" x14ac:dyDescent="0.25">
      <c r="B33" s="5"/>
      <c r="C33" s="5"/>
      <c r="D33" s="5"/>
      <c r="E33" s="5"/>
      <c r="F33" s="5"/>
      <c r="G33" s="5"/>
      <c r="H33" s="5"/>
      <c r="I33" s="5"/>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2:9" x14ac:dyDescent="0.25">
      <c r="B37" s="7" t="s">
        <v>150</v>
      </c>
      <c r="C37" s="10"/>
      <c r="D37" s="10"/>
      <c r="E37" s="10"/>
      <c r="F37" s="10"/>
      <c r="G37" s="10"/>
      <c r="H37" s="10"/>
      <c r="I37" s="2"/>
    </row>
    <row r="38" ht="13.5" customHeight="1" spans="2:9" x14ac:dyDescent="0.25">
      <c r="B38" s="21" t="s">
        <v>151</v>
      </c>
      <c r="C38" s="20"/>
      <c r="D38" s="20"/>
      <c r="E38" s="20"/>
      <c r="F38" s="20"/>
      <c r="G38" s="20"/>
      <c r="H38" s="20"/>
      <c r="I38" s="20"/>
    </row>
    <row r="39" ht="19.5" customHeight="1" spans="2:9" x14ac:dyDescent="0.25">
      <c r="B39" s="26" t="s">
        <v>152</v>
      </c>
      <c r="C39" s="26" t="s">
        <v>153</v>
      </c>
      <c r="D39" s="26" t="s">
        <v>154</v>
      </c>
      <c r="E39" s="26" t="s">
        <v>155</v>
      </c>
      <c r="F39" s="10"/>
      <c r="G39" s="10"/>
      <c r="H39" s="10"/>
      <c r="I39" s="2"/>
    </row>
    <row r="40" ht="21.75" customHeight="1" spans="2:9" x14ac:dyDescent="0.25">
      <c r="B40" s="27" t="s">
        <v>248</v>
      </c>
      <c r="C40" s="10"/>
      <c r="D40" s="2"/>
      <c r="E40" s="5" t="s">
        <v>369</v>
      </c>
      <c r="F40" s="10"/>
      <c r="G40" s="10"/>
      <c r="H40" s="10"/>
      <c r="I40" s="2"/>
    </row>
    <row r="41" ht="21.75" customHeight="1" spans="2:9" x14ac:dyDescent="0.25">
      <c r="B41" s="28" t="s">
        <v>158</v>
      </c>
      <c r="C41" s="10"/>
      <c r="D41" s="2"/>
      <c r="E41" s="5" t="s">
        <v>370</v>
      </c>
      <c r="F41" s="10"/>
      <c r="G41" s="10"/>
      <c r="H41" s="10"/>
      <c r="I41" s="2"/>
    </row>
    <row r="42" ht="21.75" customHeight="1" spans="2:9" x14ac:dyDescent="0.25">
      <c r="B42" s="28" t="s">
        <v>160</v>
      </c>
      <c r="C42" s="10"/>
      <c r="D42" s="2"/>
      <c r="E42" s="5" t="s">
        <v>371</v>
      </c>
      <c r="F42" s="10"/>
      <c r="G42" s="10"/>
      <c r="H42" s="10"/>
      <c r="I42" s="2"/>
    </row>
    <row r="43" ht="21.75" customHeight="1" spans="2:9" x14ac:dyDescent="0.25">
      <c r="B43" s="28" t="s">
        <v>162</v>
      </c>
      <c r="C43" s="10"/>
      <c r="D43" s="2"/>
      <c r="E43" s="5" t="s">
        <v>372</v>
      </c>
      <c r="F43" s="10"/>
      <c r="G43" s="10"/>
      <c r="H43" s="10"/>
      <c r="I43" s="2"/>
    </row>
    <row r="44" ht="21.75" customHeight="1" spans="2:9" x14ac:dyDescent="0.25">
      <c r="B44" s="27" t="s">
        <v>373</v>
      </c>
      <c r="C44" s="10"/>
      <c r="D44" s="2"/>
      <c r="E44" s="5"/>
      <c r="F44" s="10"/>
      <c r="G44" s="10"/>
      <c r="H44" s="10"/>
      <c r="I44" s="2"/>
    </row>
    <row r="45" ht="21.75" customHeight="1" spans="2:9" x14ac:dyDescent="0.25">
      <c r="B45" s="28" t="s">
        <v>158</v>
      </c>
      <c r="C45" s="10"/>
      <c r="D45" s="2"/>
      <c r="E45" s="5"/>
      <c r="F45" s="10"/>
      <c r="G45" s="10"/>
      <c r="H45" s="10"/>
      <c r="I45" s="2"/>
    </row>
    <row r="46" ht="21.75" customHeight="1" spans="2:9" x14ac:dyDescent="0.25">
      <c r="B46" s="28" t="s">
        <v>160</v>
      </c>
      <c r="C46" s="10"/>
      <c r="D46" s="2"/>
      <c r="E46" s="5"/>
      <c r="F46" s="10"/>
      <c r="G46" s="10"/>
      <c r="H46" s="10"/>
      <c r="I46" s="2"/>
    </row>
    <row r="47" ht="21.75" customHeight="1" spans="2:9" x14ac:dyDescent="0.25">
      <c r="B47" s="28" t="s">
        <v>162</v>
      </c>
      <c r="C47" s="10"/>
      <c r="D47" s="2"/>
      <c r="E47" s="5"/>
      <c r="F47" s="10"/>
      <c r="G47" s="10"/>
      <c r="H47" s="10"/>
      <c r="I47" s="2"/>
    </row>
    <row r="48" ht="21.75" customHeight="1" spans="2:9" x14ac:dyDescent="0.25">
      <c r="B48" s="27" t="s">
        <v>374</v>
      </c>
      <c r="C48" s="10"/>
      <c r="D48" s="2"/>
      <c r="E48" s="5"/>
      <c r="F48" s="10"/>
      <c r="G48" s="10"/>
      <c r="H48" s="10"/>
      <c r="I48" s="2"/>
    </row>
    <row r="49" ht="21.75" customHeight="1" spans="2:9" x14ac:dyDescent="0.25">
      <c r="B49" s="28" t="s">
        <v>158</v>
      </c>
      <c r="C49" s="10"/>
      <c r="D49" s="2"/>
      <c r="E49" s="5"/>
      <c r="F49" s="10"/>
      <c r="G49" s="10"/>
      <c r="H49" s="10"/>
      <c r="I49" s="2"/>
    </row>
    <row r="50" ht="21.75" customHeight="1" spans="2:9" x14ac:dyDescent="0.25">
      <c r="B50" s="28" t="s">
        <v>160</v>
      </c>
      <c r="C50" s="10"/>
      <c r="D50" s="2"/>
      <c r="E50" s="5"/>
      <c r="F50" s="10"/>
      <c r="G50" s="10"/>
      <c r="H50" s="10"/>
      <c r="I50" s="2"/>
    </row>
    <row r="51" ht="21.75" customHeight="1" spans="2:9" x14ac:dyDescent="0.25">
      <c r="B51" s="28" t="s">
        <v>162</v>
      </c>
      <c r="C51" s="10"/>
      <c r="D51" s="2"/>
      <c r="E51" s="5"/>
      <c r="F51" s="10"/>
      <c r="G51" s="10"/>
      <c r="H51" s="10"/>
      <c r="I51" s="2"/>
    </row>
    <row r="52" ht="21.75" customHeight="1" spans="2:9" x14ac:dyDescent="0.25">
      <c r="B52" s="27" t="s">
        <v>174</v>
      </c>
      <c r="C52" s="10"/>
      <c r="D52" s="2"/>
      <c r="E52" s="5"/>
      <c r="F52" s="10"/>
      <c r="G52" s="10"/>
      <c r="H52" s="10"/>
      <c r="I52" s="2"/>
    </row>
    <row r="53" ht="21.75" customHeight="1" spans="2:9" x14ac:dyDescent="0.25">
      <c r="B53" s="28" t="s">
        <v>158</v>
      </c>
      <c r="C53" s="10"/>
      <c r="D53" s="2"/>
      <c r="E53" s="5"/>
      <c r="F53" s="10"/>
      <c r="G53" s="10"/>
      <c r="H53" s="10"/>
      <c r="I53" s="2"/>
    </row>
    <row r="54" ht="21.75" customHeight="1" spans="2:9" x14ac:dyDescent="0.25">
      <c r="B54" s="28" t="s">
        <v>160</v>
      </c>
      <c r="C54" s="10"/>
      <c r="D54" s="2"/>
      <c r="E54" s="5"/>
      <c r="F54" s="10"/>
      <c r="G54" s="10"/>
      <c r="H54" s="10"/>
      <c r="I54" s="2"/>
    </row>
    <row r="55" ht="21.75" customHeight="1" spans="2:9" x14ac:dyDescent="0.25">
      <c r="B55" s="28" t="s">
        <v>162</v>
      </c>
      <c r="C55" s="10"/>
      <c r="D55" s="2"/>
      <c r="E55" s="5"/>
      <c r="F55" s="10"/>
      <c r="G55" s="10"/>
      <c r="H55" s="10"/>
      <c r="I55" s="2"/>
    </row>
    <row r="56" spans="5:9" x14ac:dyDescent="0.25">
      <c r="E56" s="5"/>
      <c r="F56" s="10"/>
      <c r="G56" s="10"/>
      <c r="H56" s="10"/>
      <c r="I56" s="2"/>
    </row>
    <row r="57" ht="21.75" customHeight="1" spans="2:9" x14ac:dyDescent="0.25">
      <c r="B57" s="30" t="s">
        <v>175</v>
      </c>
      <c r="C57" s="10"/>
      <c r="D57" s="10"/>
      <c r="E57" s="10"/>
      <c r="F57" s="10"/>
      <c r="G57" s="10"/>
      <c r="H57" s="10"/>
      <c r="I57" s="2"/>
    </row>
    <row r="58" ht="13.5" customHeight="1" spans="2:9" x14ac:dyDescent="0.25">
      <c r="B58" s="21" t="s">
        <v>176</v>
      </c>
      <c r="C58" s="20"/>
      <c r="D58" s="20"/>
      <c r="E58" s="20"/>
      <c r="F58" s="20"/>
      <c r="G58" s="20"/>
      <c r="H58" s="20"/>
      <c r="I58" s="20"/>
    </row>
    <row r="59" ht="18" customHeight="1" spans="2:9" x14ac:dyDescent="0.25">
      <c r="B59" s="31" t="s">
        <v>375</v>
      </c>
      <c r="C59" s="10"/>
      <c r="D59" s="10"/>
      <c r="E59" s="10"/>
      <c r="F59" s="10"/>
      <c r="G59" s="10"/>
      <c r="H59" s="10"/>
      <c r="I59" s="2"/>
    </row>
    <row r="60" ht="18" customHeight="1" spans="2:9" x14ac:dyDescent="0.25">
      <c r="B60" s="15" t="s">
        <v>178</v>
      </c>
      <c r="C60" s="10"/>
      <c r="D60" s="2"/>
      <c r="E60" s="32" t="s">
        <v>376</v>
      </c>
      <c r="F60" s="20"/>
      <c r="G60" s="20"/>
      <c r="H60" s="20"/>
      <c r="I60" s="20"/>
    </row>
    <row r="61" ht="18" customHeight="1" spans="2:9" x14ac:dyDescent="0.25">
      <c r="B61" s="15" t="s">
        <v>180</v>
      </c>
      <c r="C61" s="10"/>
      <c r="D61" s="2"/>
      <c r="E61" s="32" t="s">
        <v>377</v>
      </c>
      <c r="F61" s="20"/>
      <c r="G61" s="20"/>
      <c r="H61" s="20"/>
      <c r="I61" s="20"/>
    </row>
    <row r="62" ht="18" customHeight="1" spans="2:9" x14ac:dyDescent="0.25">
      <c r="B62" s="15" t="s">
        <v>182</v>
      </c>
      <c r="C62" s="10"/>
      <c r="D62" s="2"/>
      <c r="E62" s="32" t="s">
        <v>378</v>
      </c>
      <c r="F62" s="20"/>
      <c r="G62" s="20"/>
      <c r="H62" s="20"/>
      <c r="I62" s="20"/>
    </row>
    <row r="63" ht="18" customHeight="1" spans="2:9" x14ac:dyDescent="0.25">
      <c r="B63" s="15" t="s">
        <v>184</v>
      </c>
      <c r="C63" s="10"/>
      <c r="D63" s="2"/>
      <c r="E63" s="32" t="s">
        <v>379</v>
      </c>
      <c r="F63" s="20"/>
      <c r="G63" s="20"/>
      <c r="H63" s="20"/>
      <c r="I63" s="20"/>
    </row>
    <row r="64" ht="18" customHeight="1" spans="2:9" x14ac:dyDescent="0.25">
      <c r="B64" s="15" t="s">
        <v>186</v>
      </c>
      <c r="C64" s="10"/>
      <c r="D64" s="2"/>
      <c r="E64" s="32" t="s">
        <v>380</v>
      </c>
      <c r="F64" s="20"/>
      <c r="G64" s="20"/>
      <c r="H64" s="20"/>
      <c r="I64" s="20"/>
    </row>
    <row r="66" ht="18" customHeight="1" spans="2:9" x14ac:dyDescent="0.25">
      <c r="B66" s="31" t="s">
        <v>188</v>
      </c>
      <c r="C66" s="10"/>
      <c r="D66" s="10"/>
      <c r="E66" s="10"/>
      <c r="F66" s="10"/>
      <c r="G66" s="10"/>
      <c r="H66" s="10"/>
      <c r="I66" s="2"/>
    </row>
    <row r="67" ht="18" customHeight="1" spans="2:9" x14ac:dyDescent="0.25">
      <c r="B67" s="15" t="s">
        <v>381</v>
      </c>
      <c r="C67" s="10"/>
      <c r="D67" s="2"/>
      <c r="E67" s="32" t="s">
        <v>201</v>
      </c>
      <c r="F67" s="20"/>
      <c r="G67" s="20"/>
      <c r="H67" s="20"/>
      <c r="I67" s="20"/>
    </row>
    <row r="68" ht="18" customHeight="1" spans="2:9" x14ac:dyDescent="0.25">
      <c r="B68" s="15" t="s">
        <v>382</v>
      </c>
      <c r="C68" s="10"/>
      <c r="D68" s="2"/>
      <c r="E68" s="32" t="s">
        <v>202</v>
      </c>
      <c r="F68" s="20"/>
      <c r="G68" s="20"/>
      <c r="H68" s="20"/>
      <c r="I68" s="20"/>
    </row>
    <row r="69" ht="18" customHeight="1" spans="2:9" x14ac:dyDescent="0.25">
      <c r="B69" s="15" t="s">
        <v>383</v>
      </c>
      <c r="C69" s="10"/>
      <c r="D69" s="2"/>
      <c r="E69" s="32" t="s">
        <v>203</v>
      </c>
      <c r="F69" s="20"/>
      <c r="G69" s="20"/>
      <c r="H69" s="20"/>
      <c r="I69" s="20"/>
    </row>
    <row r="70" ht="18" customHeight="1" spans="2:9" x14ac:dyDescent="0.25">
      <c r="B70" s="15" t="s">
        <v>384</v>
      </c>
      <c r="C70" s="10"/>
      <c r="D70" s="2"/>
      <c r="E70" s="32" t="s">
        <v>204</v>
      </c>
      <c r="F70" s="20"/>
      <c r="G70" s="20"/>
      <c r="H70" s="20"/>
      <c r="I70" s="20"/>
    </row>
    <row r="71" ht="18" customHeight="1" spans="2:9" x14ac:dyDescent="0.25">
      <c r="B71" s="15" t="s">
        <v>385</v>
      </c>
      <c r="C71" s="10"/>
      <c r="D71" s="2"/>
      <c r="E71" s="32" t="s">
        <v>205</v>
      </c>
      <c r="F71" s="20"/>
      <c r="G71" s="20"/>
      <c r="H71" s="20"/>
      <c r="I71" s="20"/>
    </row>
    <row r="73" ht="18" customHeight="1" spans="2:9" x14ac:dyDescent="0.25">
      <c r="B73" s="31" t="s">
        <v>194</v>
      </c>
      <c r="C73" s="10"/>
      <c r="D73" s="10"/>
      <c r="E73" s="10"/>
      <c r="F73" s="10"/>
      <c r="G73" s="10"/>
      <c r="H73" s="10"/>
      <c r="I73" s="2"/>
    </row>
    <row r="74" ht="18" customHeight="1" spans="2:9" x14ac:dyDescent="0.25">
      <c r="B74" s="15" t="s">
        <v>386</v>
      </c>
      <c r="C74" s="10"/>
      <c r="D74" s="2"/>
      <c r="E74" s="28" t="s">
        <v>201</v>
      </c>
      <c r="F74" s="10"/>
      <c r="G74" s="10"/>
      <c r="H74" s="10"/>
      <c r="I74" s="2"/>
    </row>
    <row r="75" ht="18" customHeight="1" spans="2:9" x14ac:dyDescent="0.25">
      <c r="B75" s="15" t="s">
        <v>387</v>
      </c>
      <c r="C75" s="10"/>
      <c r="D75" s="2"/>
      <c r="E75" s="28" t="s">
        <v>202</v>
      </c>
      <c r="F75" s="10"/>
      <c r="G75" s="10"/>
      <c r="H75" s="10"/>
      <c r="I75" s="2"/>
    </row>
    <row r="76" ht="18" customHeight="1" spans="2:9" x14ac:dyDescent="0.25">
      <c r="B76" s="15" t="s">
        <v>388</v>
      </c>
      <c r="C76" s="10"/>
      <c r="D76" s="2"/>
      <c r="E76" s="28" t="s">
        <v>203</v>
      </c>
      <c r="F76" s="10"/>
      <c r="G76" s="10"/>
      <c r="H76" s="10"/>
      <c r="I76" s="2"/>
    </row>
    <row r="77" ht="18" customHeight="1" spans="2:9" x14ac:dyDescent="0.25">
      <c r="B77" s="15" t="s">
        <v>389</v>
      </c>
      <c r="C77" s="10"/>
      <c r="D77" s="2"/>
      <c r="E77" s="28" t="s">
        <v>204</v>
      </c>
      <c r="F77" s="10"/>
      <c r="G77" s="10"/>
      <c r="H77" s="10"/>
      <c r="I77" s="2"/>
    </row>
    <row r="78" ht="18" customHeight="1" spans="2:9" x14ac:dyDescent="0.25">
      <c r="B78" s="15" t="s">
        <v>390</v>
      </c>
      <c r="C78" s="10"/>
      <c r="D78" s="2"/>
      <c r="E78" s="28" t="s">
        <v>205</v>
      </c>
      <c r="F78" s="10"/>
      <c r="G78" s="10"/>
      <c r="H78" s="10"/>
      <c r="I78" s="2"/>
    </row>
    <row r="80" ht="18" customHeight="1" spans="2:9" x14ac:dyDescent="0.25">
      <c r="B80" s="31" t="s">
        <v>200</v>
      </c>
      <c r="C80" s="10"/>
      <c r="D80" s="10"/>
      <c r="E80" s="10"/>
      <c r="F80" s="10"/>
      <c r="G80" s="10"/>
      <c r="H80" s="10"/>
      <c r="I80" s="2"/>
    </row>
    <row r="81" ht="18" customHeight="1" spans="2:9" x14ac:dyDescent="0.25">
      <c r="B81" s="15" t="s">
        <v>178</v>
      </c>
      <c r="C81" s="10"/>
      <c r="D81" s="2"/>
      <c r="E81" s="28" t="s">
        <v>201</v>
      </c>
      <c r="F81" s="10"/>
      <c r="G81" s="10"/>
      <c r="H81" s="10"/>
      <c r="I81" s="2"/>
    </row>
    <row r="82" ht="18" customHeight="1" spans="2:9" x14ac:dyDescent="0.25">
      <c r="B82" s="15" t="s">
        <v>180</v>
      </c>
      <c r="C82" s="10"/>
      <c r="D82" s="2"/>
      <c r="E82" s="28" t="s">
        <v>202</v>
      </c>
      <c r="F82" s="10"/>
      <c r="G82" s="10"/>
      <c r="H82" s="10"/>
      <c r="I82" s="2"/>
    </row>
    <row r="83" ht="18" customHeight="1" spans="2:9" x14ac:dyDescent="0.25">
      <c r="B83" s="15" t="s">
        <v>182</v>
      </c>
      <c r="C83" s="10"/>
      <c r="D83" s="2"/>
      <c r="E83" s="28" t="s">
        <v>203</v>
      </c>
      <c r="F83" s="10"/>
      <c r="G83" s="10"/>
      <c r="H83" s="10"/>
      <c r="I83" s="2"/>
    </row>
    <row r="84" ht="18" customHeight="1" spans="2:9" x14ac:dyDescent="0.25">
      <c r="B84" s="15" t="s">
        <v>184</v>
      </c>
      <c r="C84" s="10"/>
      <c r="D84" s="2"/>
      <c r="E84" s="28" t="s">
        <v>204</v>
      </c>
      <c r="F84" s="10"/>
      <c r="G84" s="10"/>
      <c r="H84" s="10"/>
      <c r="I84" s="2"/>
    </row>
    <row r="85" ht="18" customHeight="1" spans="2:9" x14ac:dyDescent="0.25">
      <c r="B85" s="15" t="s">
        <v>186</v>
      </c>
      <c r="C85" s="10"/>
      <c r="D85" s="2"/>
      <c r="E85" s="28" t="s">
        <v>205</v>
      </c>
      <c r="F85" s="10"/>
      <c r="G85" s="10"/>
      <c r="H85" s="10"/>
      <c r="I85" s="2"/>
    </row>
    <row r="87" ht="18" customHeight="1" spans="2:9" x14ac:dyDescent="0.25">
      <c r="B87" s="31" t="s">
        <v>206</v>
      </c>
      <c r="C87" s="10"/>
      <c r="D87" s="10"/>
      <c r="E87" s="10"/>
      <c r="F87" s="10"/>
      <c r="G87" s="10"/>
      <c r="H87" s="10"/>
      <c r="I87" s="2"/>
    </row>
    <row r="88" ht="18" customHeight="1" spans="2:9" x14ac:dyDescent="0.25">
      <c r="B88" s="15" t="s">
        <v>178</v>
      </c>
      <c r="C88" s="10"/>
      <c r="D88" s="2"/>
      <c r="E88" s="28" t="s">
        <v>201</v>
      </c>
      <c r="F88" s="10"/>
      <c r="G88" s="10"/>
      <c r="H88" s="10"/>
      <c r="I88" s="2"/>
    </row>
    <row r="89" ht="18" customHeight="1" spans="2:9" x14ac:dyDescent="0.25">
      <c r="B89" s="15" t="s">
        <v>180</v>
      </c>
      <c r="C89" s="10"/>
      <c r="D89" s="2"/>
      <c r="E89" s="28" t="s">
        <v>202</v>
      </c>
      <c r="F89" s="10"/>
      <c r="G89" s="10"/>
      <c r="H89" s="10"/>
      <c r="I89" s="2"/>
    </row>
    <row r="90" ht="18" customHeight="1" spans="2:9" x14ac:dyDescent="0.25">
      <c r="B90" s="15" t="s">
        <v>182</v>
      </c>
      <c r="C90" s="10"/>
      <c r="D90" s="2"/>
      <c r="E90" s="28" t="s">
        <v>203</v>
      </c>
      <c r="F90" s="10"/>
      <c r="G90" s="10"/>
      <c r="H90" s="10"/>
      <c r="I90" s="2"/>
    </row>
    <row r="91" ht="18" customHeight="1" spans="2:9" x14ac:dyDescent="0.25">
      <c r="B91" s="15" t="s">
        <v>184</v>
      </c>
      <c r="C91" s="10"/>
      <c r="D91" s="2"/>
      <c r="E91" s="28" t="s">
        <v>204</v>
      </c>
      <c r="F91" s="10"/>
      <c r="G91" s="10"/>
      <c r="H91" s="10"/>
      <c r="I91" s="2"/>
    </row>
    <row r="92" ht="18" customHeight="1" spans="2:9" x14ac:dyDescent="0.25">
      <c r="B92" s="15" t="s">
        <v>186</v>
      </c>
      <c r="C92" s="10"/>
      <c r="D92" s="2"/>
      <c r="E92" s="28" t="s">
        <v>205</v>
      </c>
      <c r="F92" s="10"/>
      <c r="G92" s="10"/>
      <c r="H92" s="10"/>
      <c r="I92" s="2"/>
    </row>
    <row r="94" ht="15.75" customHeight="1" spans="2:9" x14ac:dyDescent="0.25">
      <c r="B94" s="34" t="s">
        <v>391</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workbookViewId="0" showGridLines="0" zoomScale="100" zoomScaleNormal="100">
      <selection activeCell="E71" sqref="E71"/>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2:9" x14ac:dyDescent="0.25">
      <c r="B2" s="18" t="s">
        <v>392</v>
      </c>
      <c r="C2" s="10"/>
      <c r="D2" s="10"/>
      <c r="E2" s="10"/>
      <c r="F2" s="10"/>
      <c r="G2" s="10"/>
      <c r="H2" s="10"/>
      <c r="I2" s="2"/>
    </row>
    <row r="3" ht="15.75" customHeight="1" spans="2:9" x14ac:dyDescent="0.25">
      <c r="B3" s="19" t="s">
        <v>80</v>
      </c>
      <c r="C3" s="20"/>
      <c r="D3" s="20"/>
      <c r="E3" s="20"/>
      <c r="F3" s="20"/>
      <c r="G3" s="20"/>
      <c r="H3" s="20"/>
      <c r="I3" s="20"/>
    </row>
    <row r="5" ht="21.75" customHeight="1" spans="2:9" x14ac:dyDescent="0.25">
      <c r="B5" s="6" t="s">
        <v>81</v>
      </c>
      <c r="C5" s="10"/>
      <c r="D5" s="10"/>
      <c r="E5" s="10"/>
      <c r="F5" s="10"/>
      <c r="G5" s="10"/>
      <c r="H5" s="10"/>
      <c r="I5" s="2"/>
    </row>
    <row r="6" ht="13.5" customHeight="1" spans="2:9" x14ac:dyDescent="0.25">
      <c r="B6" s="21" t="s">
        <v>82</v>
      </c>
      <c r="C6" s="20"/>
      <c r="D6" s="20"/>
      <c r="E6" s="20"/>
      <c r="F6" s="20"/>
      <c r="G6" s="20"/>
      <c r="H6" s="20"/>
      <c r="I6" s="20"/>
    </row>
    <row r="7" ht="19.5" customHeight="1" spans="2:9" x14ac:dyDescent="0.25">
      <c r="B7" s="12" t="s">
        <v>83</v>
      </c>
      <c r="C7" s="12" t="s">
        <v>84</v>
      </c>
      <c r="D7" s="12" t="s">
        <v>85</v>
      </c>
      <c r="E7" s="12" t="s">
        <v>86</v>
      </c>
      <c r="F7" s="12" t="s">
        <v>87</v>
      </c>
      <c r="G7" s="12" t="s">
        <v>88</v>
      </c>
      <c r="H7" s="12" t="s">
        <v>89</v>
      </c>
      <c r="I7" s="12" t="s">
        <v>90</v>
      </c>
    </row>
    <row r="8" ht="18" customHeight="1" spans="2:9" x14ac:dyDescent="0.25">
      <c r="B8" s="5" t="s">
        <v>393</v>
      </c>
      <c r="C8" s="5" t="s">
        <v>52</v>
      </c>
      <c r="D8" s="5" t="s">
        <v>218</v>
      </c>
      <c r="E8" s="5" t="s">
        <v>394</v>
      </c>
      <c r="F8" s="5" t="s">
        <v>395</v>
      </c>
      <c r="G8" s="5" t="s">
        <v>100</v>
      </c>
      <c r="H8" s="5" t="s">
        <v>396</v>
      </c>
      <c r="I8" s="5" t="s">
        <v>397</v>
      </c>
    </row>
    <row r="9" ht="18" customHeight="1" spans="2:9" x14ac:dyDescent="0.25">
      <c r="B9" s="5" t="s">
        <v>393</v>
      </c>
      <c r="C9" s="5" t="s">
        <v>52</v>
      </c>
      <c r="D9" s="5" t="s">
        <v>218</v>
      </c>
      <c r="E9" s="5" t="s">
        <v>398</v>
      </c>
      <c r="F9" s="5" t="s">
        <v>399</v>
      </c>
      <c r="G9" s="5" t="s">
        <v>95</v>
      </c>
      <c r="H9" s="5" t="s">
        <v>400</v>
      </c>
      <c r="I9" s="5" t="s">
        <v>401</v>
      </c>
    </row>
    <row r="10" ht="18" customHeight="1" spans="2:9" x14ac:dyDescent="0.25">
      <c r="B10" s="5" t="s">
        <v>402</v>
      </c>
      <c r="C10" s="5" t="s">
        <v>62</v>
      </c>
      <c r="D10" s="5" t="s">
        <v>218</v>
      </c>
      <c r="E10" s="5" t="s">
        <v>403</v>
      </c>
      <c r="F10" s="5" t="s">
        <v>404</v>
      </c>
      <c r="G10" s="5" t="s">
        <v>95</v>
      </c>
      <c r="H10" s="5" t="s">
        <v>405</v>
      </c>
      <c r="I10" s="5" t="s">
        <v>406</v>
      </c>
    </row>
    <row r="11" ht="18" customHeight="1" spans="2:9" x14ac:dyDescent="0.25">
      <c r="B11" s="5" t="s">
        <v>407</v>
      </c>
      <c r="C11" s="5" t="s">
        <v>62</v>
      </c>
      <c r="D11" s="5" t="s">
        <v>218</v>
      </c>
      <c r="E11" s="5" t="s">
        <v>408</v>
      </c>
      <c r="F11" s="5" t="s">
        <v>409</v>
      </c>
      <c r="G11" s="5" t="s">
        <v>100</v>
      </c>
      <c r="H11" s="5" t="s">
        <v>410</v>
      </c>
      <c r="I11" s="5" t="s">
        <v>411</v>
      </c>
    </row>
    <row r="12" ht="18" customHeight="1" spans="2:9" x14ac:dyDescent="0.25">
      <c r="B12" s="5" t="s">
        <v>407</v>
      </c>
      <c r="C12" s="5" t="s">
        <v>62</v>
      </c>
      <c r="D12" s="5" t="s">
        <v>218</v>
      </c>
      <c r="E12" s="5" t="s">
        <v>412</v>
      </c>
      <c r="F12" s="5" t="s">
        <v>413</v>
      </c>
      <c r="G12" s="5" t="s">
        <v>100</v>
      </c>
      <c r="H12" s="5" t="s">
        <v>414</v>
      </c>
      <c r="I12" s="5" t="s">
        <v>415</v>
      </c>
    </row>
    <row r="13" ht="18" customHeight="1" spans="2:9" x14ac:dyDescent="0.25">
      <c r="B13" s="5" t="s">
        <v>416</v>
      </c>
      <c r="C13" s="5" t="s">
        <v>57</v>
      </c>
      <c r="D13" s="5" t="s">
        <v>218</v>
      </c>
      <c r="E13" s="5" t="s">
        <v>417</v>
      </c>
      <c r="F13" s="5" t="s">
        <v>418</v>
      </c>
      <c r="G13" s="5" t="s">
        <v>100</v>
      </c>
      <c r="H13" s="5" t="s">
        <v>419</v>
      </c>
      <c r="I13" s="5" t="s">
        <v>420</v>
      </c>
    </row>
    <row r="14" ht="18" customHeight="1" spans="2:9" x14ac:dyDescent="0.25">
      <c r="B14" s="5" t="s">
        <v>421</v>
      </c>
      <c r="C14" s="5" t="s">
        <v>57</v>
      </c>
      <c r="D14" s="5" t="s">
        <v>218</v>
      </c>
      <c r="E14" s="5" t="s">
        <v>422</v>
      </c>
      <c r="F14" s="5" t="s">
        <v>423</v>
      </c>
      <c r="G14" s="5" t="s">
        <v>100</v>
      </c>
      <c r="H14" s="5" t="s">
        <v>424</v>
      </c>
      <c r="I14" s="5" t="s">
        <v>425</v>
      </c>
    </row>
    <row r="15" ht="18" customHeight="1" spans="2:9" x14ac:dyDescent="0.25">
      <c r="B15" s="5"/>
      <c r="C15" s="5"/>
      <c r="D15" s="5"/>
      <c r="E15" s="5"/>
      <c r="F15" s="5"/>
      <c r="G15" s="5"/>
      <c r="H15" s="5"/>
      <c r="I15" s="5"/>
    </row>
    <row r="17" ht="21.75" customHeight="1" spans="2:9" x14ac:dyDescent="0.25">
      <c r="B17" s="8" t="s">
        <v>127</v>
      </c>
      <c r="C17" s="10"/>
      <c r="D17" s="10"/>
      <c r="E17" s="10"/>
      <c r="F17" s="10"/>
      <c r="G17" s="10"/>
      <c r="H17" s="10"/>
      <c r="I17" s="2"/>
    </row>
    <row r="18" ht="13.5" customHeight="1" spans="2:9" x14ac:dyDescent="0.25">
      <c r="B18" s="21" t="s">
        <v>31</v>
      </c>
      <c r="C18" s="20"/>
      <c r="D18" s="20"/>
      <c r="E18" s="20"/>
      <c r="F18" s="20"/>
      <c r="G18" s="20"/>
      <c r="H18" s="20"/>
      <c r="I18" s="20"/>
    </row>
    <row r="19" ht="19.5" customHeight="1" spans="2:9" x14ac:dyDescent="0.25">
      <c r="B19" s="24" t="s">
        <v>128</v>
      </c>
      <c r="C19" s="24" t="s">
        <v>84</v>
      </c>
      <c r="D19" s="24" t="s">
        <v>129</v>
      </c>
      <c r="E19" s="10"/>
      <c r="F19" s="2"/>
      <c r="G19" s="24" t="s">
        <v>130</v>
      </c>
      <c r="H19" s="2"/>
      <c r="I19" s="24" t="s">
        <v>51</v>
      </c>
    </row>
    <row r="20" ht="15.75" customHeight="1" spans="2:9" x14ac:dyDescent="0.25">
      <c r="B20" s="25" t="s">
        <v>131</v>
      </c>
      <c r="C20" s="10"/>
      <c r="D20" s="10"/>
      <c r="E20" s="10"/>
      <c r="F20" s="10"/>
      <c r="G20" s="10"/>
      <c r="H20" s="10"/>
      <c r="I20" s="2"/>
    </row>
    <row r="21" ht="18" customHeight="1" spans="2:9" x14ac:dyDescent="0.25">
      <c r="B21" s="5"/>
      <c r="C21" s="5" t="s">
        <v>52</v>
      </c>
      <c r="D21" s="5" t="s">
        <v>426</v>
      </c>
      <c r="E21" s="5"/>
      <c r="F21" s="5"/>
      <c r="G21" s="5" t="s">
        <v>395</v>
      </c>
      <c r="H21" s="5"/>
      <c r="I21" s="5" t="s">
        <v>427</v>
      </c>
    </row>
    <row r="22" ht="18" customHeight="1" spans="2:9" x14ac:dyDescent="0.25">
      <c r="B22" s="5"/>
      <c r="C22" s="5" t="s">
        <v>62</v>
      </c>
      <c r="D22" s="5" t="s">
        <v>428</v>
      </c>
      <c r="E22" s="5"/>
      <c r="F22" s="5"/>
      <c r="G22" s="5" t="s">
        <v>404</v>
      </c>
      <c r="H22" s="5"/>
      <c r="I22" s="5" t="s">
        <v>429</v>
      </c>
    </row>
    <row r="23" ht="18" customHeight="1" spans="2:9" x14ac:dyDescent="0.25">
      <c r="B23" s="5"/>
      <c r="C23" s="5" t="s">
        <v>57</v>
      </c>
      <c r="D23" s="5" t="s">
        <v>430</v>
      </c>
      <c r="E23" s="5"/>
      <c r="F23" s="5"/>
      <c r="G23" s="5" t="s">
        <v>418</v>
      </c>
      <c r="H23" s="5"/>
      <c r="I23" s="5" t="s">
        <v>429</v>
      </c>
    </row>
    <row r="24" ht="15.75" customHeight="1" spans="2:9" x14ac:dyDescent="0.25">
      <c r="B24" s="25" t="s">
        <v>139</v>
      </c>
      <c r="C24" s="10"/>
      <c r="D24" s="10"/>
      <c r="E24" s="10"/>
      <c r="F24" s="10"/>
      <c r="G24" s="10"/>
      <c r="H24" s="10"/>
      <c r="I24" s="2"/>
    </row>
    <row r="25" ht="18" customHeight="1" spans="2:9" x14ac:dyDescent="0.25">
      <c r="B25" s="5"/>
      <c r="C25" s="5" t="s">
        <v>52</v>
      </c>
      <c r="D25" s="5" t="s">
        <v>431</v>
      </c>
      <c r="E25" s="5"/>
      <c r="F25" s="5"/>
      <c r="G25" s="5" t="s">
        <v>399</v>
      </c>
      <c r="H25" s="5"/>
      <c r="I25" s="5" t="s">
        <v>432</v>
      </c>
    </row>
    <row r="26" ht="18" customHeight="1" spans="2:9" x14ac:dyDescent="0.25">
      <c r="B26" s="5"/>
      <c r="C26" s="5" t="s">
        <v>62</v>
      </c>
      <c r="D26" s="5" t="s">
        <v>433</v>
      </c>
      <c r="E26" s="5"/>
      <c r="F26" s="5"/>
      <c r="G26" s="5" t="s">
        <v>413</v>
      </c>
      <c r="H26" s="5"/>
      <c r="I26" s="5" t="s">
        <v>434</v>
      </c>
    </row>
    <row r="27" ht="18" customHeight="1" spans="2:9" x14ac:dyDescent="0.25">
      <c r="B27" s="5"/>
      <c r="C27" s="5" t="s">
        <v>57</v>
      </c>
      <c r="D27" s="5" t="s">
        <v>435</v>
      </c>
      <c r="E27" s="5"/>
      <c r="F27" s="5"/>
      <c r="G27" s="5" t="s">
        <v>436</v>
      </c>
      <c r="H27" s="5"/>
      <c r="I27" s="5" t="s">
        <v>437</v>
      </c>
    </row>
    <row r="28" ht="15.75" customHeight="1" spans="2:9" x14ac:dyDescent="0.25">
      <c r="B28" s="25" t="s">
        <v>148</v>
      </c>
      <c r="C28" s="10"/>
      <c r="D28" s="10"/>
      <c r="E28" s="10"/>
      <c r="F28" s="10"/>
      <c r="G28" s="10"/>
      <c r="H28" s="10"/>
      <c r="I28" s="2"/>
    </row>
    <row r="29" ht="18" customHeight="1" spans="2:9" x14ac:dyDescent="0.25">
      <c r="B29" s="5"/>
      <c r="C29" s="5" t="s">
        <v>52</v>
      </c>
      <c r="D29" s="5" t="s">
        <v>438</v>
      </c>
      <c r="E29" s="5"/>
      <c r="F29" s="5"/>
      <c r="G29" s="5" t="s">
        <v>399</v>
      </c>
      <c r="H29" s="5"/>
      <c r="I29" s="5" t="s">
        <v>439</v>
      </c>
    </row>
    <row r="30" ht="18" customHeight="1" spans="2:9" x14ac:dyDescent="0.25">
      <c r="B30" s="5"/>
      <c r="C30" s="5" t="s">
        <v>62</v>
      </c>
      <c r="D30" s="5" t="s">
        <v>440</v>
      </c>
      <c r="E30" s="5"/>
      <c r="F30" s="5"/>
      <c r="G30" s="5" t="s">
        <v>409</v>
      </c>
      <c r="H30" s="5"/>
      <c r="I30" s="5" t="s">
        <v>441</v>
      </c>
    </row>
    <row r="31" ht="18" customHeight="1" spans="2:9" x14ac:dyDescent="0.25">
      <c r="B31" s="5"/>
      <c r="C31" s="5" t="s">
        <v>57</v>
      </c>
      <c r="D31" s="5" t="s">
        <v>442</v>
      </c>
      <c r="E31" s="5"/>
      <c r="F31" s="5"/>
      <c r="G31" s="5" t="s">
        <v>443</v>
      </c>
      <c r="H31" s="5"/>
      <c r="I31" s="5" t="s">
        <v>444</v>
      </c>
    </row>
    <row r="32" ht="15.75" customHeight="1" spans="2:9" x14ac:dyDescent="0.25">
      <c r="B32" s="25" t="s">
        <v>149</v>
      </c>
      <c r="C32" s="10"/>
      <c r="D32" s="10"/>
      <c r="E32" s="10"/>
      <c r="F32" s="10"/>
      <c r="G32" s="10"/>
      <c r="H32" s="10"/>
      <c r="I32" s="2"/>
    </row>
    <row r="33" ht="18" customHeight="1" spans="2:9" x14ac:dyDescent="0.25">
      <c r="B33" s="5"/>
      <c r="C33" s="5" t="s">
        <v>62</v>
      </c>
      <c r="D33" s="5" t="s">
        <v>445</v>
      </c>
      <c r="E33" s="5"/>
      <c r="F33" s="5"/>
      <c r="G33" s="5" t="s">
        <v>404</v>
      </c>
      <c r="H33" s="5"/>
      <c r="I33" s="5" t="s">
        <v>446</v>
      </c>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2:9" x14ac:dyDescent="0.25">
      <c r="B37" s="7" t="s">
        <v>150</v>
      </c>
      <c r="C37" s="10"/>
      <c r="D37" s="10"/>
      <c r="E37" s="10"/>
      <c r="F37" s="10"/>
      <c r="G37" s="10"/>
      <c r="H37" s="10"/>
      <c r="I37" s="2"/>
    </row>
    <row r="38" ht="13.5" customHeight="1" spans="2:9" x14ac:dyDescent="0.25">
      <c r="B38" s="21" t="s">
        <v>151</v>
      </c>
      <c r="C38" s="20"/>
      <c r="D38" s="20"/>
      <c r="E38" s="20"/>
      <c r="F38" s="20"/>
      <c r="G38" s="20"/>
      <c r="H38" s="20"/>
      <c r="I38" s="20"/>
    </row>
    <row r="39" ht="19.5" customHeight="1" spans="2:9" x14ac:dyDescent="0.25">
      <c r="B39" s="26" t="s">
        <v>152</v>
      </c>
      <c r="C39" s="26" t="s">
        <v>153</v>
      </c>
      <c r="D39" s="26" t="s">
        <v>154</v>
      </c>
      <c r="E39" s="26" t="s">
        <v>155</v>
      </c>
      <c r="F39" s="10"/>
      <c r="G39" s="10"/>
      <c r="H39" s="10"/>
      <c r="I39" s="2"/>
    </row>
    <row r="40" ht="21.75" customHeight="1" spans="2:9" x14ac:dyDescent="0.25">
      <c r="B40" s="27" t="s">
        <v>218</v>
      </c>
      <c r="C40" s="10"/>
      <c r="D40" s="2"/>
      <c r="E40" s="5" t="s">
        <v>447</v>
      </c>
      <c r="F40" s="10"/>
      <c r="G40" s="10"/>
      <c r="H40" s="10"/>
      <c r="I40" s="2"/>
    </row>
    <row r="41" ht="21.75" customHeight="1" spans="2:9" x14ac:dyDescent="0.25">
      <c r="B41" s="28" t="s">
        <v>158</v>
      </c>
      <c r="C41" s="10"/>
      <c r="D41" s="2"/>
      <c r="E41" s="5" t="s">
        <v>448</v>
      </c>
      <c r="F41" s="10"/>
      <c r="G41" s="10"/>
      <c r="H41" s="10"/>
      <c r="I41" s="2"/>
    </row>
    <row r="42" ht="21.75" customHeight="1" spans="2:9" x14ac:dyDescent="0.25">
      <c r="B42" s="28" t="s">
        <v>160</v>
      </c>
      <c r="C42" s="10"/>
      <c r="D42" s="2"/>
      <c r="E42" s="5" t="s">
        <v>449</v>
      </c>
      <c r="F42" s="10"/>
      <c r="G42" s="10"/>
      <c r="H42" s="10"/>
      <c r="I42" s="2"/>
    </row>
    <row r="43" ht="21.75" customHeight="1" spans="2:9" x14ac:dyDescent="0.25">
      <c r="B43" s="28" t="s">
        <v>162</v>
      </c>
      <c r="C43" s="10"/>
      <c r="D43" s="2"/>
      <c r="E43" s="5" t="s">
        <v>450</v>
      </c>
      <c r="F43" s="10"/>
      <c r="G43" s="10"/>
      <c r="H43" s="10"/>
      <c r="I43" s="2"/>
    </row>
    <row r="44" ht="21.75" customHeight="1" spans="2:9" x14ac:dyDescent="0.25">
      <c r="B44" s="27" t="s">
        <v>218</v>
      </c>
      <c r="C44" s="10"/>
      <c r="D44" s="2"/>
      <c r="E44" s="5" t="s">
        <v>451</v>
      </c>
      <c r="F44" s="10"/>
      <c r="G44" s="10"/>
      <c r="H44" s="10"/>
      <c r="I44" s="2"/>
    </row>
    <row r="45" ht="21.75" customHeight="1" spans="2:9" x14ac:dyDescent="0.25">
      <c r="B45" s="28" t="s">
        <v>158</v>
      </c>
      <c r="C45" s="10"/>
      <c r="D45" s="2"/>
      <c r="E45" s="5" t="s">
        <v>452</v>
      </c>
      <c r="F45" s="10"/>
      <c r="G45" s="10"/>
      <c r="H45" s="10"/>
      <c r="I45" s="2"/>
    </row>
    <row r="46" ht="21.75" customHeight="1" spans="2:9" x14ac:dyDescent="0.25">
      <c r="B46" s="28" t="s">
        <v>160</v>
      </c>
      <c r="C46" s="10"/>
      <c r="D46" s="2"/>
      <c r="E46" s="5" t="s">
        <v>453</v>
      </c>
      <c r="F46" s="10"/>
      <c r="G46" s="10"/>
      <c r="H46" s="10"/>
      <c r="I46" s="2"/>
    </row>
    <row r="47" ht="21.75" customHeight="1" spans="2:9" x14ac:dyDescent="0.25">
      <c r="B47" s="28" t="s">
        <v>162</v>
      </c>
      <c r="C47" s="10"/>
      <c r="D47" s="2"/>
      <c r="E47" s="5" t="s">
        <v>454</v>
      </c>
      <c r="F47" s="10"/>
      <c r="G47" s="10"/>
      <c r="H47" s="10"/>
      <c r="I47" s="2"/>
    </row>
    <row r="48" ht="21.75" customHeight="1" spans="2:9" x14ac:dyDescent="0.25">
      <c r="B48" s="27" t="s">
        <v>218</v>
      </c>
      <c r="C48" s="10"/>
      <c r="D48" s="2"/>
      <c r="E48" s="5" t="s">
        <v>455</v>
      </c>
      <c r="F48" s="10"/>
      <c r="G48" s="10"/>
      <c r="H48" s="10"/>
      <c r="I48" s="2"/>
    </row>
    <row r="49" ht="21.75" customHeight="1" spans="2:9" x14ac:dyDescent="0.25">
      <c r="B49" s="28" t="s">
        <v>158</v>
      </c>
      <c r="C49" s="10"/>
      <c r="D49" s="2"/>
      <c r="E49" s="5" t="s">
        <v>456</v>
      </c>
      <c r="F49" s="10"/>
      <c r="G49" s="10"/>
      <c r="H49" s="10"/>
      <c r="I49" s="2"/>
    </row>
    <row r="50" ht="21.75" customHeight="1" spans="2:9" x14ac:dyDescent="0.25">
      <c r="B50" s="28" t="s">
        <v>160</v>
      </c>
      <c r="C50" s="10"/>
      <c r="D50" s="2"/>
      <c r="E50" s="5" t="s">
        <v>457</v>
      </c>
      <c r="F50" s="10"/>
      <c r="G50" s="10"/>
      <c r="H50" s="10"/>
      <c r="I50" s="2"/>
    </row>
    <row r="51" ht="21.75" customHeight="1" spans="2:9" x14ac:dyDescent="0.25">
      <c r="B51" s="28" t="s">
        <v>162</v>
      </c>
      <c r="C51" s="10"/>
      <c r="D51" s="2"/>
      <c r="E51" s="5" t="s">
        <v>458</v>
      </c>
      <c r="F51" s="10"/>
      <c r="G51" s="10"/>
      <c r="H51" s="10"/>
      <c r="I51" s="2"/>
    </row>
    <row r="52" ht="21.75" customHeight="1" spans="2:9" x14ac:dyDescent="0.25">
      <c r="B52" s="27"/>
      <c r="C52" s="10"/>
      <c r="D52" s="2"/>
      <c r="E52" s="5"/>
      <c r="F52" s="10"/>
      <c r="G52" s="10"/>
      <c r="H52" s="10"/>
      <c r="I52" s="2"/>
    </row>
    <row r="53" ht="21.75" customHeight="1" spans="2:9" x14ac:dyDescent="0.25">
      <c r="B53" s="28" t="s">
        <v>158</v>
      </c>
      <c r="C53" s="10"/>
      <c r="D53" s="2"/>
      <c r="E53" s="5"/>
      <c r="F53" s="10"/>
      <c r="G53" s="10"/>
      <c r="H53" s="10"/>
      <c r="I53" s="2"/>
    </row>
    <row r="54" ht="21.75" customHeight="1" spans="2:9" x14ac:dyDescent="0.25">
      <c r="B54" s="28" t="s">
        <v>160</v>
      </c>
      <c r="C54" s="10"/>
      <c r="D54" s="2"/>
      <c r="E54" s="5"/>
      <c r="F54" s="10"/>
      <c r="G54" s="10"/>
      <c r="H54" s="10"/>
      <c r="I54" s="2"/>
    </row>
    <row r="55" ht="21.75" customHeight="1" spans="2:9" x14ac:dyDescent="0.25">
      <c r="B55" s="28" t="s">
        <v>162</v>
      </c>
      <c r="C55" s="10"/>
      <c r="D55" s="2"/>
      <c r="E55" s="5"/>
      <c r="F55" s="10"/>
      <c r="G55" s="10"/>
      <c r="H55" s="10"/>
      <c r="I55" s="2"/>
    </row>
    <row r="56" spans="5:9" x14ac:dyDescent="0.25">
      <c r="E56" s="5"/>
      <c r="F56" s="10"/>
      <c r="G56" s="10"/>
      <c r="H56" s="10"/>
      <c r="I56" s="2"/>
    </row>
    <row r="57" ht="21.75" customHeight="1" spans="2:9" x14ac:dyDescent="0.25">
      <c r="B57" s="30" t="s">
        <v>175</v>
      </c>
      <c r="C57" s="10"/>
      <c r="D57" s="10"/>
      <c r="E57" s="10"/>
      <c r="F57" s="10"/>
      <c r="G57" s="10"/>
      <c r="H57" s="10"/>
      <c r="I57" s="2"/>
    </row>
    <row r="58" ht="13.5" customHeight="1" spans="2:9" x14ac:dyDescent="0.25">
      <c r="B58" s="21" t="s">
        <v>176</v>
      </c>
      <c r="C58" s="20"/>
      <c r="D58" s="20"/>
      <c r="E58" s="20"/>
      <c r="F58" s="20"/>
      <c r="G58" s="20"/>
      <c r="H58" s="20"/>
      <c r="I58" s="20"/>
    </row>
    <row r="59" ht="18" customHeight="1" spans="2:9" x14ac:dyDescent="0.25">
      <c r="B59" s="31" t="s">
        <v>177</v>
      </c>
      <c r="C59" s="10"/>
      <c r="D59" s="10"/>
      <c r="E59" s="10"/>
      <c r="F59" s="10"/>
      <c r="G59" s="10"/>
      <c r="H59" s="10"/>
      <c r="I59" s="2"/>
    </row>
    <row r="60" ht="18" customHeight="1" spans="2:9" x14ac:dyDescent="0.25">
      <c r="B60" s="15" t="s">
        <v>178</v>
      </c>
      <c r="C60" s="10"/>
      <c r="D60" s="2"/>
      <c r="E60" s="32" t="s">
        <v>459</v>
      </c>
      <c r="F60" s="20"/>
      <c r="G60" s="20"/>
      <c r="H60" s="20"/>
      <c r="I60" s="20"/>
    </row>
    <row r="61" ht="18" customHeight="1" spans="2:9" x14ac:dyDescent="0.25">
      <c r="B61" s="15" t="s">
        <v>180</v>
      </c>
      <c r="C61" s="10"/>
      <c r="D61" s="2"/>
      <c r="E61" s="32" t="s">
        <v>460</v>
      </c>
      <c r="F61" s="20"/>
      <c r="G61" s="20"/>
      <c r="H61" s="20"/>
      <c r="I61" s="20"/>
    </row>
    <row r="62" ht="18" customHeight="1" spans="2:9" x14ac:dyDescent="0.25">
      <c r="B62" s="15" t="s">
        <v>182</v>
      </c>
      <c r="C62" s="10"/>
      <c r="D62" s="2"/>
      <c r="E62" s="32" t="s">
        <v>461</v>
      </c>
      <c r="F62" s="20"/>
      <c r="G62" s="20"/>
      <c r="H62" s="20"/>
      <c r="I62" s="20"/>
    </row>
    <row r="63" ht="18" customHeight="1" spans="2:9" x14ac:dyDescent="0.25">
      <c r="B63" s="15" t="s">
        <v>184</v>
      </c>
      <c r="C63" s="10"/>
      <c r="D63" s="2"/>
      <c r="E63" s="32" t="s">
        <v>462</v>
      </c>
      <c r="F63" s="20"/>
      <c r="G63" s="20"/>
      <c r="H63" s="20"/>
      <c r="I63" s="20"/>
    </row>
    <row r="64" ht="18" customHeight="1" spans="2:9" x14ac:dyDescent="0.25">
      <c r="B64" s="15" t="s">
        <v>186</v>
      </c>
      <c r="C64" s="10"/>
      <c r="D64" s="2"/>
      <c r="E64" s="32" t="s">
        <v>463</v>
      </c>
      <c r="F64" s="20"/>
      <c r="G64" s="20"/>
      <c r="H64" s="20"/>
      <c r="I64" s="20"/>
    </row>
    <row r="66" ht="18" customHeight="1" spans="2:9" x14ac:dyDescent="0.25">
      <c r="B66" s="31" t="s">
        <v>188</v>
      </c>
      <c r="C66" s="10"/>
      <c r="D66" s="10"/>
      <c r="E66" s="10"/>
      <c r="F66" s="10"/>
      <c r="G66" s="10"/>
      <c r="H66" s="10"/>
      <c r="I66" s="2"/>
    </row>
    <row r="67" ht="18" customHeight="1" spans="2:9" x14ac:dyDescent="0.25">
      <c r="B67" s="15" t="s">
        <v>178</v>
      </c>
      <c r="C67" s="10"/>
      <c r="D67" s="2"/>
      <c r="E67" s="32" t="s">
        <v>464</v>
      </c>
      <c r="F67" s="20"/>
      <c r="G67" s="20"/>
      <c r="H67" s="20"/>
      <c r="I67" s="20"/>
    </row>
    <row r="68" ht="18" customHeight="1" spans="2:9" x14ac:dyDescent="0.25">
      <c r="B68" s="15" t="s">
        <v>180</v>
      </c>
      <c r="C68" s="10"/>
      <c r="D68" s="2"/>
      <c r="E68" s="32" t="s">
        <v>465</v>
      </c>
      <c r="F68" s="20"/>
      <c r="G68" s="20"/>
      <c r="H68" s="20"/>
      <c r="I68" s="20"/>
    </row>
    <row r="69" ht="18" customHeight="1" spans="2:9" x14ac:dyDescent="0.25">
      <c r="B69" s="15" t="s">
        <v>182</v>
      </c>
      <c r="C69" s="10"/>
      <c r="D69" s="2"/>
      <c r="E69" s="32" t="s">
        <v>466</v>
      </c>
      <c r="F69" s="20"/>
      <c r="G69" s="20"/>
      <c r="H69" s="20"/>
      <c r="I69" s="20"/>
    </row>
    <row r="70" ht="18" customHeight="1" spans="2:9" x14ac:dyDescent="0.25">
      <c r="B70" s="15" t="s">
        <v>184</v>
      </c>
      <c r="C70" s="10"/>
      <c r="D70" s="2"/>
      <c r="E70" s="32" t="s">
        <v>467</v>
      </c>
      <c r="F70" s="20"/>
      <c r="G70" s="20"/>
      <c r="H70" s="20"/>
      <c r="I70" s="20"/>
    </row>
    <row r="71" ht="18" customHeight="1" spans="2:9" x14ac:dyDescent="0.25">
      <c r="B71" s="15" t="s">
        <v>186</v>
      </c>
      <c r="C71" s="10"/>
      <c r="D71" s="2"/>
      <c r="E71" s="32" t="s">
        <v>468</v>
      </c>
      <c r="F71" s="20"/>
      <c r="G71" s="20"/>
      <c r="H71" s="20"/>
      <c r="I71" s="20"/>
    </row>
    <row r="73" ht="18" customHeight="1" spans="2:9" x14ac:dyDescent="0.25">
      <c r="B73" s="31" t="s">
        <v>194</v>
      </c>
      <c r="C73" s="10"/>
      <c r="D73" s="10"/>
      <c r="E73" s="10"/>
      <c r="F73" s="10"/>
      <c r="G73" s="10"/>
      <c r="H73" s="10"/>
      <c r="I73" s="2"/>
    </row>
    <row r="74" ht="18" customHeight="1" spans="2:9" x14ac:dyDescent="0.25">
      <c r="B74" s="15" t="s">
        <v>178</v>
      </c>
      <c r="C74" s="10"/>
      <c r="D74" s="2"/>
      <c r="E74" s="28" t="s">
        <v>469</v>
      </c>
      <c r="F74" s="10"/>
      <c r="G74" s="10"/>
      <c r="H74" s="10"/>
      <c r="I74" s="2"/>
    </row>
    <row r="75" ht="18" customHeight="1" spans="2:9" x14ac:dyDescent="0.25">
      <c r="B75" s="15" t="s">
        <v>180</v>
      </c>
      <c r="C75" s="10"/>
      <c r="D75" s="2"/>
      <c r="E75" s="28" t="s">
        <v>470</v>
      </c>
      <c r="F75" s="10"/>
      <c r="G75" s="10"/>
      <c r="H75" s="10"/>
      <c r="I75" s="2"/>
    </row>
    <row r="76" ht="18" customHeight="1" spans="2:9" x14ac:dyDescent="0.25">
      <c r="B76" s="15" t="s">
        <v>182</v>
      </c>
      <c r="C76" s="10"/>
      <c r="D76" s="2"/>
      <c r="E76" s="28" t="s">
        <v>471</v>
      </c>
      <c r="F76" s="10"/>
      <c r="G76" s="10"/>
      <c r="H76" s="10"/>
      <c r="I76" s="2"/>
    </row>
    <row r="77" ht="18" customHeight="1" spans="2:9" x14ac:dyDescent="0.25">
      <c r="B77" s="15" t="s">
        <v>184</v>
      </c>
      <c r="C77" s="10"/>
      <c r="D77" s="2"/>
      <c r="E77" s="28" t="s">
        <v>472</v>
      </c>
      <c r="F77" s="10"/>
      <c r="G77" s="10"/>
      <c r="H77" s="10"/>
      <c r="I77" s="2"/>
    </row>
    <row r="78" ht="18" customHeight="1" spans="2:9" x14ac:dyDescent="0.25">
      <c r="B78" s="15" t="s">
        <v>186</v>
      </c>
      <c r="C78" s="10"/>
      <c r="D78" s="2"/>
      <c r="E78" s="28" t="s">
        <v>473</v>
      </c>
      <c r="F78" s="10"/>
      <c r="G78" s="10"/>
      <c r="H78" s="10"/>
      <c r="I78" s="2"/>
    </row>
    <row r="80" ht="18" customHeight="1" spans="2:9" x14ac:dyDescent="0.25">
      <c r="B80" s="31" t="s">
        <v>200</v>
      </c>
      <c r="C80" s="10"/>
      <c r="D80" s="10"/>
      <c r="E80" s="10"/>
      <c r="F80" s="10"/>
      <c r="G80" s="10"/>
      <c r="H80" s="10"/>
      <c r="I80" s="2"/>
    </row>
    <row r="81" ht="18" customHeight="1" spans="2:9" x14ac:dyDescent="0.25">
      <c r="B81" s="15" t="s">
        <v>178</v>
      </c>
      <c r="C81" s="10"/>
      <c r="D81" s="2"/>
      <c r="E81" s="28"/>
      <c r="F81" s="10"/>
      <c r="G81" s="10"/>
      <c r="H81" s="10"/>
      <c r="I81" s="2"/>
    </row>
    <row r="82" ht="18" customHeight="1" spans="2:9" x14ac:dyDescent="0.25">
      <c r="B82" s="15" t="s">
        <v>180</v>
      </c>
      <c r="C82" s="10"/>
      <c r="D82" s="2"/>
      <c r="E82" s="28"/>
      <c r="F82" s="10"/>
      <c r="G82" s="10"/>
      <c r="H82" s="10"/>
      <c r="I82" s="2"/>
    </row>
    <row r="83" ht="18" customHeight="1" spans="2:9" x14ac:dyDescent="0.25">
      <c r="B83" s="15" t="s">
        <v>182</v>
      </c>
      <c r="C83" s="10"/>
      <c r="D83" s="2"/>
      <c r="E83" s="28"/>
      <c r="F83" s="10"/>
      <c r="G83" s="10"/>
      <c r="H83" s="10"/>
      <c r="I83" s="2"/>
    </row>
    <row r="84" ht="18" customHeight="1" spans="2:9" x14ac:dyDescent="0.25">
      <c r="B84" s="15" t="s">
        <v>184</v>
      </c>
      <c r="C84" s="10"/>
      <c r="D84" s="2"/>
      <c r="E84" s="28"/>
      <c r="F84" s="10"/>
      <c r="G84" s="10"/>
      <c r="H84" s="10"/>
      <c r="I84" s="2"/>
    </row>
    <row r="85" ht="18" customHeight="1" spans="2:9" x14ac:dyDescent="0.25">
      <c r="B85" s="15" t="s">
        <v>186</v>
      </c>
      <c r="C85" s="10"/>
      <c r="D85" s="2"/>
      <c r="E85" s="28"/>
      <c r="F85" s="10"/>
      <c r="G85" s="10"/>
      <c r="H85" s="10"/>
      <c r="I85" s="2"/>
    </row>
    <row r="87" ht="18" customHeight="1" spans="2:9" x14ac:dyDescent="0.25">
      <c r="B87" s="31" t="s">
        <v>206</v>
      </c>
      <c r="C87" s="10"/>
      <c r="D87" s="10"/>
      <c r="E87" s="10"/>
      <c r="F87" s="10"/>
      <c r="G87" s="10"/>
      <c r="H87" s="10"/>
      <c r="I87" s="2"/>
    </row>
    <row r="88" ht="18" customHeight="1" spans="2:9" x14ac:dyDescent="0.25">
      <c r="B88" s="15" t="s">
        <v>178</v>
      </c>
      <c r="C88" s="10"/>
      <c r="D88" s="2"/>
      <c r="E88" s="28"/>
      <c r="F88" s="10"/>
      <c r="G88" s="10"/>
      <c r="H88" s="10"/>
      <c r="I88" s="2"/>
    </row>
    <row r="89" ht="18" customHeight="1" spans="2:9" x14ac:dyDescent="0.25">
      <c r="B89" s="15" t="s">
        <v>180</v>
      </c>
      <c r="C89" s="10"/>
      <c r="D89" s="2"/>
      <c r="E89" s="28"/>
      <c r="F89" s="10"/>
      <c r="G89" s="10"/>
      <c r="H89" s="10"/>
      <c r="I89" s="2"/>
    </row>
    <row r="90" ht="18" customHeight="1" spans="2:9" x14ac:dyDescent="0.25">
      <c r="B90" s="15" t="s">
        <v>182</v>
      </c>
      <c r="C90" s="10"/>
      <c r="D90" s="2"/>
      <c r="E90" s="28"/>
      <c r="F90" s="10"/>
      <c r="G90" s="10"/>
      <c r="H90" s="10"/>
      <c r="I90" s="2"/>
    </row>
    <row r="91" ht="18" customHeight="1" spans="2:9" x14ac:dyDescent="0.25">
      <c r="B91" s="15" t="s">
        <v>184</v>
      </c>
      <c r="C91" s="10"/>
      <c r="D91" s="2"/>
      <c r="E91" s="28"/>
      <c r="F91" s="10"/>
      <c r="G91" s="10"/>
      <c r="H91" s="10"/>
      <c r="I91" s="2"/>
    </row>
    <row r="92" ht="18" customHeight="1" spans="2:9" x14ac:dyDescent="0.25">
      <c r="B92" s="15" t="s">
        <v>186</v>
      </c>
      <c r="C92" s="10"/>
      <c r="D92" s="2"/>
      <c r="E92" s="28"/>
      <c r="F92" s="10"/>
      <c r="G92" s="10"/>
      <c r="H92" s="10"/>
      <c r="I92" s="2"/>
    </row>
    <row r="94" ht="15.75" customHeight="1" spans="2:9" x14ac:dyDescent="0.25">
      <c r="B94" s="34" t="s">
        <v>474</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workbookViewId="0" showGridLines="0" zoomScale="100" zoomScaleNormal="100">
      <selection activeCell="E71" sqref="E71"/>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2:9" x14ac:dyDescent="0.25">
      <c r="B2" s="18" t="s">
        <v>475</v>
      </c>
      <c r="C2" s="10"/>
      <c r="D2" s="10"/>
      <c r="E2" s="10"/>
      <c r="F2" s="10"/>
      <c r="G2" s="10"/>
      <c r="H2" s="10"/>
      <c r="I2" s="2"/>
    </row>
    <row r="3" ht="15.75" customHeight="1" spans="2:9" x14ac:dyDescent="0.25">
      <c r="B3" s="19" t="s">
        <v>80</v>
      </c>
      <c r="C3" s="20"/>
      <c r="D3" s="20"/>
      <c r="E3" s="20"/>
      <c r="F3" s="20"/>
      <c r="G3" s="20"/>
      <c r="H3" s="20"/>
      <c r="I3" s="20"/>
    </row>
    <row r="5" ht="21.75" customHeight="1" spans="2:9" x14ac:dyDescent="0.25">
      <c r="B5" s="6" t="s">
        <v>81</v>
      </c>
      <c r="C5" s="10"/>
      <c r="D5" s="10"/>
      <c r="E5" s="10"/>
      <c r="F5" s="10"/>
      <c r="G5" s="10"/>
      <c r="H5" s="10"/>
      <c r="I5" s="2"/>
    </row>
    <row r="6" ht="13.5" customHeight="1" spans="2:9" x14ac:dyDescent="0.25">
      <c r="B6" s="21" t="s">
        <v>82</v>
      </c>
      <c r="C6" s="20"/>
      <c r="D6" s="20"/>
      <c r="E6" s="20"/>
      <c r="F6" s="20"/>
      <c r="G6" s="20"/>
      <c r="H6" s="20"/>
      <c r="I6" s="20"/>
    </row>
    <row r="7" ht="19.5" customHeight="1" spans="2:9" x14ac:dyDescent="0.25">
      <c r="B7" s="12" t="s">
        <v>83</v>
      </c>
      <c r="C7" s="12" t="s">
        <v>84</v>
      </c>
      <c r="D7" s="12" t="s">
        <v>85</v>
      </c>
      <c r="E7" s="12" t="s">
        <v>86</v>
      </c>
      <c r="F7" s="12" t="s">
        <v>87</v>
      </c>
      <c r="G7" s="12" t="s">
        <v>88</v>
      </c>
      <c r="H7" s="12" t="s">
        <v>89</v>
      </c>
      <c r="I7" s="12" t="s">
        <v>90</v>
      </c>
    </row>
    <row r="8" ht="18" customHeight="1" spans="2:9" x14ac:dyDescent="0.25">
      <c r="B8" s="5" t="s">
        <v>476</v>
      </c>
      <c r="C8" s="5" t="s">
        <v>52</v>
      </c>
      <c r="D8" s="5" t="s">
        <v>218</v>
      </c>
      <c r="E8" s="5" t="s">
        <v>477</v>
      </c>
      <c r="F8" s="5" t="s">
        <v>478</v>
      </c>
      <c r="G8" s="5" t="s">
        <v>100</v>
      </c>
      <c r="H8" s="5" t="s">
        <v>479</v>
      </c>
      <c r="I8" s="5" t="s">
        <v>480</v>
      </c>
    </row>
    <row r="9" ht="18" customHeight="1" spans="2:9" x14ac:dyDescent="0.25">
      <c r="B9" s="5" t="s">
        <v>476</v>
      </c>
      <c r="C9" s="5" t="s">
        <v>52</v>
      </c>
      <c r="D9" s="5" t="s">
        <v>218</v>
      </c>
      <c r="E9" s="5" t="s">
        <v>481</v>
      </c>
      <c r="F9" s="5" t="s">
        <v>482</v>
      </c>
      <c r="G9" s="5" t="s">
        <v>95</v>
      </c>
      <c r="H9" s="5" t="s">
        <v>483</v>
      </c>
      <c r="I9" s="5" t="s">
        <v>484</v>
      </c>
    </row>
    <row r="10" ht="18" customHeight="1" spans="2:9" x14ac:dyDescent="0.25">
      <c r="B10" s="5" t="s">
        <v>485</v>
      </c>
      <c r="C10" s="5" t="s">
        <v>62</v>
      </c>
      <c r="D10" s="5" t="s">
        <v>218</v>
      </c>
      <c r="E10" s="5" t="s">
        <v>486</v>
      </c>
      <c r="F10" s="5" t="s">
        <v>487</v>
      </c>
      <c r="G10" s="5" t="s">
        <v>100</v>
      </c>
      <c r="H10" s="5" t="s">
        <v>488</v>
      </c>
      <c r="I10" s="5" t="s">
        <v>489</v>
      </c>
    </row>
    <row r="11" ht="18" customHeight="1" spans="2:9" x14ac:dyDescent="0.25">
      <c r="B11" s="5" t="s">
        <v>490</v>
      </c>
      <c r="C11" s="5" t="s">
        <v>62</v>
      </c>
      <c r="D11" s="5" t="s">
        <v>218</v>
      </c>
      <c r="E11" s="5" t="s">
        <v>491</v>
      </c>
      <c r="F11" s="5" t="s">
        <v>492</v>
      </c>
      <c r="G11" s="5" t="s">
        <v>100</v>
      </c>
      <c r="H11" s="5" t="s">
        <v>493</v>
      </c>
      <c r="I11" s="5" t="s">
        <v>494</v>
      </c>
    </row>
    <row r="12" ht="18" customHeight="1" spans="2:9" x14ac:dyDescent="0.25">
      <c r="B12" s="5" t="s">
        <v>495</v>
      </c>
      <c r="C12" s="5" t="s">
        <v>52</v>
      </c>
      <c r="D12" s="5" t="s">
        <v>218</v>
      </c>
      <c r="E12" s="5" t="s">
        <v>496</v>
      </c>
      <c r="F12" s="5" t="s">
        <v>497</v>
      </c>
      <c r="G12" s="5" t="s">
        <v>95</v>
      </c>
      <c r="H12" s="5" t="s">
        <v>498</v>
      </c>
      <c r="I12" s="5" t="s">
        <v>499</v>
      </c>
    </row>
    <row r="13" ht="18" customHeight="1" spans="2:9" x14ac:dyDescent="0.25">
      <c r="B13" s="5" t="s">
        <v>495</v>
      </c>
      <c r="C13" s="5" t="s">
        <v>52</v>
      </c>
      <c r="D13" s="5" t="s">
        <v>218</v>
      </c>
      <c r="E13" s="5" t="s">
        <v>500</v>
      </c>
      <c r="F13" s="5" t="s">
        <v>497</v>
      </c>
      <c r="G13" s="5" t="s">
        <v>100</v>
      </c>
      <c r="H13" s="5" t="s">
        <v>501</v>
      </c>
      <c r="I13" s="5" t="s">
        <v>502</v>
      </c>
    </row>
    <row r="14" ht="18" customHeight="1" spans="2:9" x14ac:dyDescent="0.25">
      <c r="B14" s="5"/>
      <c r="C14" s="5"/>
      <c r="D14" s="5"/>
      <c r="E14" s="5"/>
      <c r="F14" s="5"/>
      <c r="G14" s="5"/>
      <c r="H14" s="5"/>
      <c r="I14" s="5"/>
    </row>
    <row r="15" ht="18" customHeight="1" spans="2:9" x14ac:dyDescent="0.25">
      <c r="B15" s="5"/>
      <c r="C15" s="5"/>
      <c r="D15" s="5"/>
      <c r="E15" s="5"/>
      <c r="F15" s="5"/>
      <c r="G15" s="5"/>
      <c r="H15" s="5"/>
      <c r="I15" s="5"/>
    </row>
    <row r="17" ht="21.75" customHeight="1" spans="2:9" x14ac:dyDescent="0.25">
      <c r="B17" s="8" t="s">
        <v>127</v>
      </c>
      <c r="C17" s="10"/>
      <c r="D17" s="10"/>
      <c r="E17" s="10"/>
      <c r="F17" s="10"/>
      <c r="G17" s="10"/>
      <c r="H17" s="10"/>
      <c r="I17" s="2"/>
    </row>
    <row r="18" ht="13.5" customHeight="1" spans="2:9" x14ac:dyDescent="0.25">
      <c r="B18" s="21" t="s">
        <v>31</v>
      </c>
      <c r="C18" s="20"/>
      <c r="D18" s="20"/>
      <c r="E18" s="20"/>
      <c r="F18" s="20"/>
      <c r="G18" s="20"/>
      <c r="H18" s="20"/>
      <c r="I18" s="20"/>
    </row>
    <row r="19" ht="19.5" customHeight="1" spans="2:9" x14ac:dyDescent="0.25">
      <c r="B19" s="24" t="s">
        <v>128</v>
      </c>
      <c r="C19" s="24" t="s">
        <v>84</v>
      </c>
      <c r="D19" s="24" t="s">
        <v>129</v>
      </c>
      <c r="E19" s="10"/>
      <c r="F19" s="2"/>
      <c r="G19" s="24" t="s">
        <v>130</v>
      </c>
      <c r="H19" s="2"/>
      <c r="I19" s="24" t="s">
        <v>51</v>
      </c>
    </row>
    <row r="20" ht="15.75" customHeight="1" spans="2:9" x14ac:dyDescent="0.25">
      <c r="B20" s="25" t="s">
        <v>131</v>
      </c>
      <c r="C20" s="10"/>
      <c r="D20" s="10"/>
      <c r="E20" s="10"/>
      <c r="F20" s="10"/>
      <c r="G20" s="10"/>
      <c r="H20" s="10"/>
      <c r="I20" s="2"/>
    </row>
    <row r="21" ht="18" customHeight="1" spans="2:9" x14ac:dyDescent="0.25">
      <c r="B21" s="5"/>
      <c r="C21" s="5" t="s">
        <v>52</v>
      </c>
      <c r="D21" s="5" t="s">
        <v>503</v>
      </c>
      <c r="E21" s="5"/>
      <c r="F21" s="5"/>
      <c r="G21" s="5" t="s">
        <v>497</v>
      </c>
      <c r="H21" s="5"/>
      <c r="I21" s="5" t="s">
        <v>504</v>
      </c>
    </row>
    <row r="22" ht="18" customHeight="1" spans="2:9" x14ac:dyDescent="0.25">
      <c r="B22" s="5"/>
      <c r="C22" s="5" t="s">
        <v>62</v>
      </c>
      <c r="D22" s="5" t="s">
        <v>505</v>
      </c>
      <c r="E22" s="5"/>
      <c r="F22" s="5"/>
      <c r="G22" s="5" t="s">
        <v>487</v>
      </c>
      <c r="H22" s="5"/>
      <c r="I22" s="5" t="s">
        <v>506</v>
      </c>
    </row>
    <row r="23" ht="18" customHeight="1" spans="2:9" x14ac:dyDescent="0.25">
      <c r="B23" s="5"/>
      <c r="C23" s="5" t="s">
        <v>52</v>
      </c>
      <c r="D23" s="5" t="s">
        <v>507</v>
      </c>
      <c r="E23" s="5"/>
      <c r="F23" s="5"/>
      <c r="G23" s="5" t="s">
        <v>508</v>
      </c>
      <c r="H23" s="5"/>
      <c r="I23" s="5" t="s">
        <v>509</v>
      </c>
    </row>
    <row r="24" ht="15.75" customHeight="1" spans="2:9" x14ac:dyDescent="0.25">
      <c r="B24" s="25" t="s">
        <v>139</v>
      </c>
      <c r="C24" s="10"/>
      <c r="D24" s="10"/>
      <c r="E24" s="10"/>
      <c r="F24" s="10"/>
      <c r="G24" s="10"/>
      <c r="H24" s="10"/>
      <c r="I24" s="2"/>
    </row>
    <row r="25" ht="18" customHeight="1" spans="2:9" x14ac:dyDescent="0.25">
      <c r="B25" s="5"/>
      <c r="C25" s="5" t="s">
        <v>52</v>
      </c>
      <c r="D25" s="5" t="s">
        <v>510</v>
      </c>
      <c r="E25" s="5"/>
      <c r="F25" s="5"/>
      <c r="G25" s="5" t="s">
        <v>478</v>
      </c>
      <c r="H25" s="5"/>
      <c r="I25" s="5" t="s">
        <v>511</v>
      </c>
    </row>
    <row r="26" ht="18" customHeight="1" spans="2:9" x14ac:dyDescent="0.25">
      <c r="B26" s="5"/>
      <c r="C26" s="5" t="s">
        <v>52</v>
      </c>
      <c r="D26" s="5" t="s">
        <v>512</v>
      </c>
      <c r="E26" s="5"/>
      <c r="F26" s="5"/>
      <c r="G26" s="5" t="s">
        <v>513</v>
      </c>
      <c r="H26" s="5"/>
      <c r="I26" s="5" t="s">
        <v>514</v>
      </c>
    </row>
    <row r="27" ht="18" customHeight="1" spans="2:9" x14ac:dyDescent="0.25">
      <c r="B27" s="5"/>
      <c r="C27" s="5" t="s">
        <v>62</v>
      </c>
      <c r="D27" s="5" t="s">
        <v>515</v>
      </c>
      <c r="E27" s="5"/>
      <c r="F27" s="5"/>
      <c r="G27" s="5" t="s">
        <v>492</v>
      </c>
      <c r="H27" s="5"/>
      <c r="I27" s="5" t="s">
        <v>516</v>
      </c>
    </row>
    <row r="28" ht="15.75" customHeight="1" spans="2:9" x14ac:dyDescent="0.25">
      <c r="B28" s="25" t="s">
        <v>148</v>
      </c>
      <c r="C28" s="10"/>
      <c r="D28" s="10"/>
      <c r="E28" s="10"/>
      <c r="F28" s="10"/>
      <c r="G28" s="10"/>
      <c r="H28" s="10"/>
      <c r="I28" s="2"/>
    </row>
    <row r="29" ht="18" customHeight="1" spans="2:9" x14ac:dyDescent="0.25">
      <c r="B29" s="5"/>
      <c r="C29" s="5" t="s">
        <v>52</v>
      </c>
      <c r="D29" s="5" t="s">
        <v>517</v>
      </c>
      <c r="E29" s="5"/>
      <c r="F29" s="5"/>
      <c r="G29" s="5" t="s">
        <v>478</v>
      </c>
      <c r="H29" s="5"/>
      <c r="I29" s="5" t="s">
        <v>439</v>
      </c>
    </row>
    <row r="30" ht="18" customHeight="1" spans="2:9" x14ac:dyDescent="0.25">
      <c r="B30" s="5"/>
      <c r="C30" s="5" t="s">
        <v>62</v>
      </c>
      <c r="D30" s="5" t="s">
        <v>518</v>
      </c>
      <c r="E30" s="5"/>
      <c r="F30" s="5"/>
      <c r="G30" s="5" t="s">
        <v>487</v>
      </c>
      <c r="H30" s="5"/>
      <c r="I30" s="5" t="s">
        <v>519</v>
      </c>
    </row>
    <row r="31" ht="18" customHeight="1" spans="2:9" x14ac:dyDescent="0.25">
      <c r="B31" s="5"/>
      <c r="C31" s="5"/>
      <c r="D31" s="5"/>
      <c r="E31" s="5"/>
      <c r="F31" s="5"/>
      <c r="G31" s="5"/>
      <c r="H31" s="5"/>
      <c r="I31" s="5"/>
    </row>
    <row r="32" ht="15.75" customHeight="1" spans="2:9" x14ac:dyDescent="0.25">
      <c r="B32" s="25" t="s">
        <v>149</v>
      </c>
      <c r="C32" s="10"/>
      <c r="D32" s="10"/>
      <c r="E32" s="10"/>
      <c r="F32" s="10"/>
      <c r="G32" s="10"/>
      <c r="H32" s="10"/>
      <c r="I32" s="2"/>
    </row>
    <row r="33" ht="18" customHeight="1" spans="2:9" x14ac:dyDescent="0.25">
      <c r="B33" s="5"/>
      <c r="C33" s="5"/>
      <c r="D33" s="5"/>
      <c r="E33" s="5"/>
      <c r="F33" s="5"/>
      <c r="G33" s="5"/>
      <c r="H33" s="5"/>
      <c r="I33" s="5"/>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2:9" x14ac:dyDescent="0.25">
      <c r="B37" s="7" t="s">
        <v>150</v>
      </c>
      <c r="C37" s="10"/>
      <c r="D37" s="10"/>
      <c r="E37" s="10"/>
      <c r="F37" s="10"/>
      <c r="G37" s="10"/>
      <c r="H37" s="10"/>
      <c r="I37" s="2"/>
    </row>
    <row r="38" ht="13.5" customHeight="1" spans="2:9" x14ac:dyDescent="0.25">
      <c r="B38" s="21" t="s">
        <v>151</v>
      </c>
      <c r="C38" s="20"/>
      <c r="D38" s="20"/>
      <c r="E38" s="20"/>
      <c r="F38" s="20"/>
      <c r="G38" s="20"/>
      <c r="H38" s="20"/>
      <c r="I38" s="20"/>
    </row>
    <row r="39" ht="19.5" customHeight="1" spans="2:9" x14ac:dyDescent="0.25">
      <c r="B39" s="26" t="s">
        <v>152</v>
      </c>
      <c r="C39" s="26" t="s">
        <v>153</v>
      </c>
      <c r="D39" s="26" t="s">
        <v>154</v>
      </c>
      <c r="E39" s="26" t="s">
        <v>155</v>
      </c>
      <c r="F39" s="10"/>
      <c r="G39" s="10"/>
      <c r="H39" s="10"/>
      <c r="I39" s="2"/>
    </row>
    <row r="40" ht="21.75" customHeight="1" spans="2:9" x14ac:dyDescent="0.25">
      <c r="B40" s="27" t="s">
        <v>218</v>
      </c>
      <c r="C40" s="10"/>
      <c r="D40" s="2"/>
      <c r="E40" s="5" t="s">
        <v>520</v>
      </c>
      <c r="F40" s="10"/>
      <c r="G40" s="10"/>
      <c r="H40" s="10"/>
      <c r="I40" s="2"/>
    </row>
    <row r="41" ht="21.75" customHeight="1" spans="2:9" x14ac:dyDescent="0.25">
      <c r="B41" s="28" t="s">
        <v>158</v>
      </c>
      <c r="C41" s="10"/>
      <c r="D41" s="2"/>
      <c r="E41" s="5" t="s">
        <v>521</v>
      </c>
      <c r="F41" s="10"/>
      <c r="G41" s="10"/>
      <c r="H41" s="10"/>
      <c r="I41" s="2"/>
    </row>
    <row r="42" ht="21.75" customHeight="1" spans="2:9" x14ac:dyDescent="0.25">
      <c r="B42" s="28" t="s">
        <v>160</v>
      </c>
      <c r="C42" s="10"/>
      <c r="D42" s="2"/>
      <c r="E42" s="5" t="s">
        <v>522</v>
      </c>
      <c r="F42" s="10"/>
      <c r="G42" s="10"/>
      <c r="H42" s="10"/>
      <c r="I42" s="2"/>
    </row>
    <row r="43" ht="21.75" customHeight="1" spans="2:9" x14ac:dyDescent="0.25">
      <c r="B43" s="28" t="s">
        <v>162</v>
      </c>
      <c r="C43" s="10"/>
      <c r="D43" s="2"/>
      <c r="E43" s="5" t="s">
        <v>523</v>
      </c>
      <c r="F43" s="10"/>
      <c r="G43" s="10"/>
      <c r="H43" s="10"/>
      <c r="I43" s="2"/>
    </row>
    <row r="44" ht="21.75" customHeight="1" spans="2:9" x14ac:dyDescent="0.25">
      <c r="B44" s="27" t="s">
        <v>218</v>
      </c>
      <c r="C44" s="10"/>
      <c r="D44" s="2"/>
      <c r="E44" s="5" t="s">
        <v>524</v>
      </c>
      <c r="F44" s="10"/>
      <c r="G44" s="10"/>
      <c r="H44" s="10"/>
      <c r="I44" s="2"/>
    </row>
    <row r="45" ht="21.75" customHeight="1" spans="2:9" x14ac:dyDescent="0.25">
      <c r="B45" s="28" t="s">
        <v>158</v>
      </c>
      <c r="C45" s="10"/>
      <c r="D45" s="2"/>
      <c r="E45" s="5" t="s">
        <v>525</v>
      </c>
      <c r="F45" s="10"/>
      <c r="G45" s="10"/>
      <c r="H45" s="10"/>
      <c r="I45" s="2"/>
    </row>
    <row r="46" ht="21.75" customHeight="1" spans="2:9" x14ac:dyDescent="0.25">
      <c r="B46" s="28" t="s">
        <v>160</v>
      </c>
      <c r="C46" s="10"/>
      <c r="D46" s="2"/>
      <c r="E46" s="5" t="s">
        <v>526</v>
      </c>
      <c r="F46" s="10"/>
      <c r="G46" s="10"/>
      <c r="H46" s="10"/>
      <c r="I46" s="2"/>
    </row>
    <row r="47" ht="21.75" customHeight="1" spans="2:9" x14ac:dyDescent="0.25">
      <c r="B47" s="28" t="s">
        <v>162</v>
      </c>
      <c r="C47" s="10"/>
      <c r="D47" s="2"/>
      <c r="E47" s="5" t="s">
        <v>527</v>
      </c>
      <c r="F47" s="10"/>
      <c r="G47" s="10"/>
      <c r="H47" s="10"/>
      <c r="I47" s="2"/>
    </row>
    <row r="48" ht="21.75" customHeight="1" spans="2:9" x14ac:dyDescent="0.25">
      <c r="B48" s="27" t="s">
        <v>218</v>
      </c>
      <c r="C48" s="10"/>
      <c r="D48" s="2"/>
      <c r="E48" s="5" t="s">
        <v>528</v>
      </c>
      <c r="F48" s="10"/>
      <c r="G48" s="10"/>
      <c r="H48" s="10"/>
      <c r="I48" s="2"/>
    </row>
    <row r="49" ht="21.75" customHeight="1" spans="2:9" x14ac:dyDescent="0.25">
      <c r="B49" s="28" t="s">
        <v>158</v>
      </c>
      <c r="C49" s="10"/>
      <c r="D49" s="2"/>
      <c r="E49" s="5" t="s">
        <v>529</v>
      </c>
      <c r="F49" s="10"/>
      <c r="G49" s="10"/>
      <c r="H49" s="10"/>
      <c r="I49" s="2"/>
    </row>
    <row r="50" ht="21.75" customHeight="1" spans="2:9" x14ac:dyDescent="0.25">
      <c r="B50" s="28" t="s">
        <v>160</v>
      </c>
      <c r="C50" s="10"/>
      <c r="D50" s="2"/>
      <c r="E50" s="5" t="s">
        <v>530</v>
      </c>
      <c r="F50" s="10"/>
      <c r="G50" s="10"/>
      <c r="H50" s="10"/>
      <c r="I50" s="2"/>
    </row>
    <row r="51" ht="21.75" customHeight="1" spans="2:9" x14ac:dyDescent="0.25">
      <c r="B51" s="28" t="s">
        <v>162</v>
      </c>
      <c r="C51" s="10"/>
      <c r="D51" s="2"/>
      <c r="E51" s="5" t="s">
        <v>531</v>
      </c>
      <c r="F51" s="10"/>
      <c r="G51" s="10"/>
      <c r="H51" s="10"/>
      <c r="I51" s="2"/>
    </row>
    <row r="52" ht="21.75" customHeight="1" spans="2:9" x14ac:dyDescent="0.25">
      <c r="B52" s="27"/>
      <c r="C52" s="10"/>
      <c r="D52" s="2"/>
      <c r="E52" s="5"/>
      <c r="F52" s="10"/>
      <c r="G52" s="10"/>
      <c r="H52" s="10"/>
      <c r="I52" s="2"/>
    </row>
    <row r="53" ht="21.75" customHeight="1" spans="2:9" x14ac:dyDescent="0.25">
      <c r="B53" s="28" t="s">
        <v>158</v>
      </c>
      <c r="C53" s="10"/>
      <c r="D53" s="2"/>
      <c r="E53" s="5"/>
      <c r="F53" s="10"/>
      <c r="G53" s="10"/>
      <c r="H53" s="10"/>
      <c r="I53" s="2"/>
    </row>
    <row r="54" ht="21.75" customHeight="1" spans="2:9" x14ac:dyDescent="0.25">
      <c r="B54" s="28" t="s">
        <v>160</v>
      </c>
      <c r="C54" s="10"/>
      <c r="D54" s="2"/>
      <c r="E54" s="5"/>
      <c r="F54" s="10"/>
      <c r="G54" s="10"/>
      <c r="H54" s="10"/>
      <c r="I54" s="2"/>
    </row>
    <row r="55" ht="21.75" customHeight="1" spans="2:9" x14ac:dyDescent="0.25">
      <c r="B55" s="28" t="s">
        <v>162</v>
      </c>
      <c r="C55" s="10"/>
      <c r="D55" s="2"/>
      <c r="E55" s="5"/>
      <c r="F55" s="10"/>
      <c r="G55" s="10"/>
      <c r="H55" s="10"/>
      <c r="I55" s="2"/>
    </row>
    <row r="56" spans="5:9" x14ac:dyDescent="0.25">
      <c r="E56" s="5"/>
      <c r="F56" s="10"/>
      <c r="G56" s="10"/>
      <c r="H56" s="10"/>
      <c r="I56" s="2"/>
    </row>
    <row r="57" ht="21.75" customHeight="1" spans="2:9" x14ac:dyDescent="0.25">
      <c r="B57" s="30" t="s">
        <v>175</v>
      </c>
      <c r="C57" s="10"/>
      <c r="D57" s="10"/>
      <c r="E57" s="10"/>
      <c r="F57" s="10"/>
      <c r="G57" s="10"/>
      <c r="H57" s="10"/>
      <c r="I57" s="2"/>
    </row>
    <row r="58" ht="13.5" customHeight="1" spans="2:9" x14ac:dyDescent="0.25">
      <c r="B58" s="21" t="s">
        <v>176</v>
      </c>
      <c r="C58" s="20"/>
      <c r="D58" s="20"/>
      <c r="E58" s="20"/>
      <c r="F58" s="20"/>
      <c r="G58" s="20"/>
      <c r="H58" s="20"/>
      <c r="I58" s="20"/>
    </row>
    <row r="59" ht="18" customHeight="1" spans="2:9" x14ac:dyDescent="0.25">
      <c r="B59" s="31" t="s">
        <v>177</v>
      </c>
      <c r="C59" s="10"/>
      <c r="D59" s="10"/>
      <c r="E59" s="10"/>
      <c r="F59" s="10"/>
      <c r="G59" s="10"/>
      <c r="H59" s="10"/>
      <c r="I59" s="2"/>
    </row>
    <row r="60" ht="18" customHeight="1" spans="2:9" x14ac:dyDescent="0.25">
      <c r="B60" s="15" t="s">
        <v>178</v>
      </c>
      <c r="C60" s="10"/>
      <c r="D60" s="2"/>
      <c r="E60" s="32" t="s">
        <v>532</v>
      </c>
      <c r="F60" s="20"/>
      <c r="G60" s="20"/>
      <c r="H60" s="20"/>
      <c r="I60" s="20"/>
    </row>
    <row r="61" ht="18" customHeight="1" spans="2:9" x14ac:dyDescent="0.25">
      <c r="B61" s="15" t="s">
        <v>180</v>
      </c>
      <c r="C61" s="10"/>
      <c r="D61" s="2"/>
      <c r="E61" s="32" t="s">
        <v>533</v>
      </c>
      <c r="F61" s="20"/>
      <c r="G61" s="20"/>
      <c r="H61" s="20"/>
      <c r="I61" s="20"/>
    </row>
    <row r="62" ht="18" customHeight="1" spans="2:9" x14ac:dyDescent="0.25">
      <c r="B62" s="15" t="s">
        <v>182</v>
      </c>
      <c r="C62" s="10"/>
      <c r="D62" s="2"/>
      <c r="E62" s="32" t="s">
        <v>534</v>
      </c>
      <c r="F62" s="20"/>
      <c r="G62" s="20"/>
      <c r="H62" s="20"/>
      <c r="I62" s="20"/>
    </row>
    <row r="63" ht="18" customHeight="1" spans="2:9" x14ac:dyDescent="0.25">
      <c r="B63" s="15" t="s">
        <v>184</v>
      </c>
      <c r="C63" s="10"/>
      <c r="D63" s="2"/>
      <c r="E63" s="32" t="s">
        <v>535</v>
      </c>
      <c r="F63" s="20"/>
      <c r="G63" s="20"/>
      <c r="H63" s="20"/>
      <c r="I63" s="20"/>
    </row>
    <row r="64" ht="18" customHeight="1" spans="2:9" x14ac:dyDescent="0.25">
      <c r="B64" s="15" t="s">
        <v>186</v>
      </c>
      <c r="C64" s="10"/>
      <c r="D64" s="2"/>
      <c r="E64" s="32" t="s">
        <v>536</v>
      </c>
      <c r="F64" s="20"/>
      <c r="G64" s="20"/>
      <c r="H64" s="20"/>
      <c r="I64" s="20"/>
    </row>
    <row r="66" ht="18" customHeight="1" spans="2:9" x14ac:dyDescent="0.25">
      <c r="B66" s="31" t="s">
        <v>188</v>
      </c>
      <c r="C66" s="10"/>
      <c r="D66" s="10"/>
      <c r="E66" s="10"/>
      <c r="F66" s="10"/>
      <c r="G66" s="10"/>
      <c r="H66" s="10"/>
      <c r="I66" s="2"/>
    </row>
    <row r="67" ht="18" customHeight="1" spans="2:9" x14ac:dyDescent="0.25">
      <c r="B67" s="15" t="s">
        <v>178</v>
      </c>
      <c r="C67" s="10"/>
      <c r="D67" s="2"/>
      <c r="E67" s="32" t="s">
        <v>537</v>
      </c>
      <c r="F67" s="20"/>
      <c r="G67" s="20"/>
      <c r="H67" s="20"/>
      <c r="I67" s="20"/>
    </row>
    <row r="68" ht="18" customHeight="1" spans="2:9" x14ac:dyDescent="0.25">
      <c r="B68" s="15" t="s">
        <v>180</v>
      </c>
      <c r="C68" s="10"/>
      <c r="D68" s="2"/>
      <c r="E68" s="32" t="s">
        <v>538</v>
      </c>
      <c r="F68" s="20"/>
      <c r="G68" s="20"/>
      <c r="H68" s="20"/>
      <c r="I68" s="20"/>
    </row>
    <row r="69" ht="18" customHeight="1" spans="2:9" x14ac:dyDescent="0.25">
      <c r="B69" s="15" t="s">
        <v>182</v>
      </c>
      <c r="C69" s="10"/>
      <c r="D69" s="2"/>
      <c r="E69" s="32" t="s">
        <v>539</v>
      </c>
      <c r="F69" s="20"/>
      <c r="G69" s="20"/>
      <c r="H69" s="20"/>
      <c r="I69" s="20"/>
    </row>
    <row r="70" ht="18" customHeight="1" spans="2:9" x14ac:dyDescent="0.25">
      <c r="B70" s="15" t="s">
        <v>184</v>
      </c>
      <c r="C70" s="10"/>
      <c r="D70" s="2"/>
      <c r="E70" s="32" t="s">
        <v>540</v>
      </c>
      <c r="F70" s="20"/>
      <c r="G70" s="20"/>
      <c r="H70" s="20"/>
      <c r="I70" s="20"/>
    </row>
    <row r="71" ht="18" customHeight="1" spans="2:9" x14ac:dyDescent="0.25">
      <c r="B71" s="15" t="s">
        <v>186</v>
      </c>
      <c r="C71" s="10"/>
      <c r="D71" s="2"/>
      <c r="E71" s="32" t="s">
        <v>541</v>
      </c>
      <c r="F71" s="20"/>
      <c r="G71" s="20"/>
      <c r="H71" s="20"/>
      <c r="I71" s="20"/>
    </row>
    <row r="73" ht="18" customHeight="1" spans="2:9" x14ac:dyDescent="0.25">
      <c r="B73" s="31" t="s">
        <v>194</v>
      </c>
      <c r="C73" s="10"/>
      <c r="D73" s="10"/>
      <c r="E73" s="10"/>
      <c r="F73" s="10"/>
      <c r="G73" s="10"/>
      <c r="H73" s="10"/>
      <c r="I73" s="2"/>
    </row>
    <row r="74" ht="18" customHeight="1" spans="2:9" x14ac:dyDescent="0.25">
      <c r="B74" s="15" t="s">
        <v>178</v>
      </c>
      <c r="C74" s="10"/>
      <c r="D74" s="2"/>
      <c r="E74" s="28" t="s">
        <v>542</v>
      </c>
      <c r="F74" s="10"/>
      <c r="G74" s="10"/>
      <c r="H74" s="10"/>
      <c r="I74" s="2"/>
    </row>
    <row r="75" ht="18" customHeight="1" spans="2:9" x14ac:dyDescent="0.25">
      <c r="B75" s="15" t="s">
        <v>180</v>
      </c>
      <c r="C75" s="10"/>
      <c r="D75" s="2"/>
      <c r="E75" s="28" t="s">
        <v>543</v>
      </c>
      <c r="F75" s="10"/>
      <c r="G75" s="10"/>
      <c r="H75" s="10"/>
      <c r="I75" s="2"/>
    </row>
    <row r="76" ht="18" customHeight="1" spans="2:9" x14ac:dyDescent="0.25">
      <c r="B76" s="15" t="s">
        <v>182</v>
      </c>
      <c r="C76" s="10"/>
      <c r="D76" s="2"/>
      <c r="E76" s="28" t="s">
        <v>544</v>
      </c>
      <c r="F76" s="10"/>
      <c r="G76" s="10"/>
      <c r="H76" s="10"/>
      <c r="I76" s="2"/>
    </row>
    <row r="77" ht="18" customHeight="1" spans="2:9" x14ac:dyDescent="0.25">
      <c r="B77" s="15" t="s">
        <v>184</v>
      </c>
      <c r="C77" s="10"/>
      <c r="D77" s="2"/>
      <c r="E77" s="28" t="s">
        <v>545</v>
      </c>
      <c r="F77" s="10"/>
      <c r="G77" s="10"/>
      <c r="H77" s="10"/>
      <c r="I77" s="2"/>
    </row>
    <row r="78" ht="18" customHeight="1" spans="2:9" x14ac:dyDescent="0.25">
      <c r="B78" s="15" t="s">
        <v>186</v>
      </c>
      <c r="C78" s="10"/>
      <c r="D78" s="2"/>
      <c r="E78" s="28" t="s">
        <v>546</v>
      </c>
      <c r="F78" s="10"/>
      <c r="G78" s="10"/>
      <c r="H78" s="10"/>
      <c r="I78" s="2"/>
    </row>
    <row r="80" ht="18" customHeight="1" spans="2:9" x14ac:dyDescent="0.25">
      <c r="B80" s="31" t="s">
        <v>200</v>
      </c>
      <c r="C80" s="10"/>
      <c r="D80" s="10"/>
      <c r="E80" s="10"/>
      <c r="F80" s="10"/>
      <c r="G80" s="10"/>
      <c r="H80" s="10"/>
      <c r="I80" s="2"/>
    </row>
    <row r="81" ht="18" customHeight="1" spans="2:9" x14ac:dyDescent="0.25">
      <c r="B81" s="15" t="s">
        <v>178</v>
      </c>
      <c r="C81" s="10"/>
      <c r="D81" s="2"/>
      <c r="E81" s="28"/>
      <c r="F81" s="10"/>
      <c r="G81" s="10"/>
      <c r="H81" s="10"/>
      <c r="I81" s="2"/>
    </row>
    <row r="82" ht="18" customHeight="1" spans="2:9" x14ac:dyDescent="0.25">
      <c r="B82" s="15" t="s">
        <v>180</v>
      </c>
      <c r="C82" s="10"/>
      <c r="D82" s="2"/>
      <c r="E82" s="28"/>
      <c r="F82" s="10"/>
      <c r="G82" s="10"/>
      <c r="H82" s="10"/>
      <c r="I82" s="2"/>
    </row>
    <row r="83" ht="18" customHeight="1" spans="2:9" x14ac:dyDescent="0.25">
      <c r="B83" s="15" t="s">
        <v>182</v>
      </c>
      <c r="C83" s="10"/>
      <c r="D83" s="2"/>
      <c r="E83" s="28"/>
      <c r="F83" s="10"/>
      <c r="G83" s="10"/>
      <c r="H83" s="10"/>
      <c r="I83" s="2"/>
    </row>
    <row r="84" ht="18" customHeight="1" spans="2:9" x14ac:dyDescent="0.25">
      <c r="B84" s="15" t="s">
        <v>184</v>
      </c>
      <c r="C84" s="10"/>
      <c r="D84" s="2"/>
      <c r="E84" s="28"/>
      <c r="F84" s="10"/>
      <c r="G84" s="10"/>
      <c r="H84" s="10"/>
      <c r="I84" s="2"/>
    </row>
    <row r="85" ht="18" customHeight="1" spans="2:9" x14ac:dyDescent="0.25">
      <c r="B85" s="15" t="s">
        <v>186</v>
      </c>
      <c r="C85" s="10"/>
      <c r="D85" s="2"/>
      <c r="E85" s="28"/>
      <c r="F85" s="10"/>
      <c r="G85" s="10"/>
      <c r="H85" s="10"/>
      <c r="I85" s="2"/>
    </row>
    <row r="87" ht="18" customHeight="1" spans="2:9" x14ac:dyDescent="0.25">
      <c r="B87" s="31" t="s">
        <v>206</v>
      </c>
      <c r="C87" s="10"/>
      <c r="D87" s="10"/>
      <c r="E87" s="10"/>
      <c r="F87" s="10"/>
      <c r="G87" s="10"/>
      <c r="H87" s="10"/>
      <c r="I87" s="2"/>
    </row>
    <row r="88" ht="18" customHeight="1" spans="2:9" x14ac:dyDescent="0.25">
      <c r="B88" s="15" t="s">
        <v>178</v>
      </c>
      <c r="C88" s="10"/>
      <c r="D88" s="2"/>
      <c r="E88" s="28"/>
      <c r="F88" s="10"/>
      <c r="G88" s="10"/>
      <c r="H88" s="10"/>
      <c r="I88" s="2"/>
    </row>
    <row r="89" ht="18" customHeight="1" spans="2:9" x14ac:dyDescent="0.25">
      <c r="B89" s="15" t="s">
        <v>180</v>
      </c>
      <c r="C89" s="10"/>
      <c r="D89" s="2"/>
      <c r="E89" s="28"/>
      <c r="F89" s="10"/>
      <c r="G89" s="10"/>
      <c r="H89" s="10"/>
      <c r="I89" s="2"/>
    </row>
    <row r="90" ht="18" customHeight="1" spans="2:9" x14ac:dyDescent="0.25">
      <c r="B90" s="15" t="s">
        <v>182</v>
      </c>
      <c r="C90" s="10"/>
      <c r="D90" s="2"/>
      <c r="E90" s="28"/>
      <c r="F90" s="10"/>
      <c r="G90" s="10"/>
      <c r="H90" s="10"/>
      <c r="I90" s="2"/>
    </row>
    <row r="91" ht="18" customHeight="1" spans="2:9" x14ac:dyDescent="0.25">
      <c r="B91" s="15" t="s">
        <v>184</v>
      </c>
      <c r="C91" s="10"/>
      <c r="D91" s="2"/>
      <c r="E91" s="28"/>
      <c r="F91" s="10"/>
      <c r="G91" s="10"/>
      <c r="H91" s="10"/>
      <c r="I91" s="2"/>
    </row>
    <row r="92" ht="18" customHeight="1" spans="2:9" x14ac:dyDescent="0.25">
      <c r="B92" s="15" t="s">
        <v>186</v>
      </c>
      <c r="C92" s="10"/>
      <c r="D92" s="2"/>
      <c r="E92" s="28"/>
      <c r="F92" s="10"/>
      <c r="G92" s="10"/>
      <c r="H92" s="10"/>
      <c r="I92" s="2"/>
    </row>
    <row r="94" ht="15.75" customHeight="1" spans="2:9" x14ac:dyDescent="0.25">
      <c r="B94" s="34" t="s">
        <v>547</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workbookViewId="0" showGridLines="0" zoomScale="100" zoomScaleNormal="100">
      <selection activeCell="E71" sqref="E71"/>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2:9" x14ac:dyDescent="0.25">
      <c r="B2" s="18" t="s">
        <v>548</v>
      </c>
      <c r="C2" s="10"/>
      <c r="D2" s="10"/>
      <c r="E2" s="10"/>
      <c r="F2" s="10"/>
      <c r="G2" s="10"/>
      <c r="H2" s="10"/>
      <c r="I2" s="2"/>
    </row>
    <row r="3" ht="15.75" customHeight="1" spans="2:9" x14ac:dyDescent="0.25">
      <c r="B3" s="19" t="s">
        <v>80</v>
      </c>
      <c r="C3" s="20"/>
      <c r="D3" s="20"/>
      <c r="E3" s="20"/>
      <c r="F3" s="20"/>
      <c r="G3" s="20"/>
      <c r="H3" s="20"/>
      <c r="I3" s="20"/>
    </row>
    <row r="5" ht="21.75" customHeight="1" spans="2:9" x14ac:dyDescent="0.25">
      <c r="B5" s="6" t="s">
        <v>81</v>
      </c>
      <c r="C5" s="10"/>
      <c r="D5" s="10"/>
      <c r="E5" s="10"/>
      <c r="F5" s="10"/>
      <c r="G5" s="10"/>
      <c r="H5" s="10"/>
      <c r="I5" s="2"/>
    </row>
    <row r="6" ht="13.5" customHeight="1" spans="2:9" x14ac:dyDescent="0.25">
      <c r="B6" s="21" t="s">
        <v>82</v>
      </c>
      <c r="C6" s="20"/>
      <c r="D6" s="20"/>
      <c r="E6" s="20"/>
      <c r="F6" s="20"/>
      <c r="G6" s="20"/>
      <c r="H6" s="20"/>
      <c r="I6" s="20"/>
    </row>
    <row r="7" ht="19.5" customHeight="1" spans="2:9" x14ac:dyDescent="0.25">
      <c r="B7" s="12" t="s">
        <v>83</v>
      </c>
      <c r="C7" s="12" t="s">
        <v>84</v>
      </c>
      <c r="D7" s="12" t="s">
        <v>85</v>
      </c>
      <c r="E7" s="12" t="s">
        <v>86</v>
      </c>
      <c r="F7" s="12" t="s">
        <v>87</v>
      </c>
      <c r="G7" s="12" t="s">
        <v>88</v>
      </c>
      <c r="H7" s="12" t="s">
        <v>89</v>
      </c>
      <c r="I7" s="12" t="s">
        <v>90</v>
      </c>
    </row>
    <row r="8" ht="18" customHeight="1" spans="2:9" x14ac:dyDescent="0.25">
      <c r="B8" s="5" t="s">
        <v>549</v>
      </c>
      <c r="C8" s="5" t="s">
        <v>57</v>
      </c>
      <c r="D8" s="5" t="s">
        <v>218</v>
      </c>
      <c r="E8" s="5" t="s">
        <v>550</v>
      </c>
      <c r="F8" s="5" t="s">
        <v>551</v>
      </c>
      <c r="G8" s="5" t="s">
        <v>95</v>
      </c>
      <c r="H8" s="5" t="s">
        <v>552</v>
      </c>
      <c r="I8" s="5" t="s">
        <v>553</v>
      </c>
    </row>
    <row r="9" ht="18" customHeight="1" spans="2:9" x14ac:dyDescent="0.25">
      <c r="B9" s="5" t="s">
        <v>549</v>
      </c>
      <c r="C9" s="5" t="s">
        <v>52</v>
      </c>
      <c r="D9" s="5" t="s">
        <v>218</v>
      </c>
      <c r="E9" s="5" t="s">
        <v>554</v>
      </c>
      <c r="F9" s="5" t="s">
        <v>482</v>
      </c>
      <c r="G9" s="5" t="s">
        <v>95</v>
      </c>
      <c r="H9" s="5" t="s">
        <v>555</v>
      </c>
      <c r="I9" s="5" t="s">
        <v>556</v>
      </c>
    </row>
    <row r="10" ht="18" customHeight="1" spans="2:9" x14ac:dyDescent="0.25">
      <c r="B10" s="5" t="s">
        <v>557</v>
      </c>
      <c r="C10" s="5" t="s">
        <v>52</v>
      </c>
      <c r="D10" s="5" t="s">
        <v>218</v>
      </c>
      <c r="E10" s="5" t="s">
        <v>558</v>
      </c>
      <c r="F10" s="5" t="s">
        <v>559</v>
      </c>
      <c r="G10" s="5" t="s">
        <v>95</v>
      </c>
      <c r="H10" s="5" t="s">
        <v>560</v>
      </c>
      <c r="I10" s="5" t="s">
        <v>561</v>
      </c>
    </row>
    <row r="11" ht="18" customHeight="1" spans="2:9" x14ac:dyDescent="0.25">
      <c r="B11" s="5" t="s">
        <v>562</v>
      </c>
      <c r="C11" s="5" t="s">
        <v>52</v>
      </c>
      <c r="D11" s="5" t="s">
        <v>218</v>
      </c>
      <c r="E11" s="5" t="s">
        <v>563</v>
      </c>
      <c r="F11" s="5" t="s">
        <v>564</v>
      </c>
      <c r="G11" s="5" t="s">
        <v>95</v>
      </c>
      <c r="H11" s="5" t="s">
        <v>565</v>
      </c>
      <c r="I11" s="5" t="s">
        <v>566</v>
      </c>
    </row>
    <row r="12" ht="18" customHeight="1" spans="2:9" x14ac:dyDescent="0.25">
      <c r="B12" s="5" t="s">
        <v>562</v>
      </c>
      <c r="C12" s="5" t="s">
        <v>52</v>
      </c>
      <c r="D12" s="5" t="s">
        <v>218</v>
      </c>
      <c r="E12" s="5" t="s">
        <v>567</v>
      </c>
      <c r="F12" s="5" t="s">
        <v>568</v>
      </c>
      <c r="G12" s="5" t="s">
        <v>95</v>
      </c>
      <c r="H12" s="5" t="s">
        <v>569</v>
      </c>
      <c r="I12" s="5" t="s">
        <v>570</v>
      </c>
    </row>
    <row r="13" ht="18" customHeight="1" spans="2:9" x14ac:dyDescent="0.25">
      <c r="B13" s="5" t="s">
        <v>571</v>
      </c>
      <c r="C13" s="5" t="s">
        <v>62</v>
      </c>
      <c r="D13" s="5" t="s">
        <v>218</v>
      </c>
      <c r="E13" s="5" t="s">
        <v>572</v>
      </c>
      <c r="F13" s="5" t="s">
        <v>573</v>
      </c>
      <c r="G13" s="5" t="s">
        <v>100</v>
      </c>
      <c r="H13" s="5" t="s">
        <v>574</v>
      </c>
      <c r="I13" s="5" t="s">
        <v>575</v>
      </c>
    </row>
    <row r="14" ht="18" customHeight="1" spans="2:9" x14ac:dyDescent="0.25">
      <c r="B14" s="5" t="s">
        <v>571</v>
      </c>
      <c r="C14" s="5" t="s">
        <v>62</v>
      </c>
      <c r="D14" s="5" t="s">
        <v>218</v>
      </c>
      <c r="E14" s="5" t="s">
        <v>576</v>
      </c>
      <c r="F14" s="5" t="s">
        <v>573</v>
      </c>
      <c r="G14" s="5" t="s">
        <v>100</v>
      </c>
      <c r="H14" s="5" t="s">
        <v>577</v>
      </c>
      <c r="I14" s="5" t="s">
        <v>578</v>
      </c>
    </row>
    <row r="15" ht="18" customHeight="1" spans="2:9" x14ac:dyDescent="0.25">
      <c r="B15" s="5" t="s">
        <v>571</v>
      </c>
      <c r="C15" s="5" t="s">
        <v>62</v>
      </c>
      <c r="D15" s="5" t="s">
        <v>218</v>
      </c>
      <c r="E15" s="5" t="s">
        <v>579</v>
      </c>
      <c r="F15" s="5" t="s">
        <v>580</v>
      </c>
      <c r="G15" s="5" t="s">
        <v>95</v>
      </c>
      <c r="H15" s="5" t="s">
        <v>581</v>
      </c>
      <c r="I15" s="5" t="s">
        <v>582</v>
      </c>
    </row>
    <row r="17" ht="21.75" customHeight="1" spans="2:9" x14ac:dyDescent="0.25">
      <c r="B17" s="8" t="s">
        <v>127</v>
      </c>
      <c r="C17" s="10"/>
      <c r="D17" s="10"/>
      <c r="E17" s="10"/>
      <c r="F17" s="10"/>
      <c r="G17" s="10"/>
      <c r="H17" s="10"/>
      <c r="I17" s="2"/>
    </row>
    <row r="18" ht="13.5" customHeight="1" spans="2:9" x14ac:dyDescent="0.25">
      <c r="B18" s="21" t="s">
        <v>31</v>
      </c>
      <c r="C18" s="20"/>
      <c r="D18" s="20"/>
      <c r="E18" s="20"/>
      <c r="F18" s="20"/>
      <c r="G18" s="20"/>
      <c r="H18" s="20"/>
      <c r="I18" s="20"/>
    </row>
    <row r="19" ht="19.5" customHeight="1" spans="2:9" x14ac:dyDescent="0.25">
      <c r="B19" s="24" t="s">
        <v>128</v>
      </c>
      <c r="C19" s="24" t="s">
        <v>84</v>
      </c>
      <c r="D19" s="24" t="s">
        <v>129</v>
      </c>
      <c r="E19" s="10"/>
      <c r="F19" s="2"/>
      <c r="G19" s="24" t="s">
        <v>130</v>
      </c>
      <c r="H19" s="2"/>
      <c r="I19" s="24" t="s">
        <v>51</v>
      </c>
    </row>
    <row r="20" ht="15.75" customHeight="1" spans="2:9" x14ac:dyDescent="0.25">
      <c r="B20" s="25" t="s">
        <v>131</v>
      </c>
      <c r="C20" s="10"/>
      <c r="D20" s="10"/>
      <c r="E20" s="10"/>
      <c r="F20" s="10"/>
      <c r="G20" s="10"/>
      <c r="H20" s="10"/>
      <c r="I20" s="2"/>
    </row>
    <row r="21" ht="18" customHeight="1" spans="2:9" x14ac:dyDescent="0.25">
      <c r="B21" s="5"/>
      <c r="C21" s="5" t="s">
        <v>57</v>
      </c>
      <c r="D21" s="5" t="s">
        <v>583</v>
      </c>
      <c r="E21" s="5"/>
      <c r="F21" s="5"/>
      <c r="G21" s="5" t="s">
        <v>551</v>
      </c>
      <c r="H21" s="5"/>
      <c r="I21" s="5" t="s">
        <v>584</v>
      </c>
    </row>
    <row r="22" ht="18" customHeight="1" spans="2:9" x14ac:dyDescent="0.25">
      <c r="B22" s="5"/>
      <c r="C22" s="5" t="s">
        <v>52</v>
      </c>
      <c r="D22" s="5" t="s">
        <v>585</v>
      </c>
      <c r="E22" s="5"/>
      <c r="F22" s="5"/>
      <c r="G22" s="5" t="s">
        <v>564</v>
      </c>
      <c r="H22" s="5"/>
      <c r="I22" s="5" t="s">
        <v>586</v>
      </c>
    </row>
    <row r="23" ht="18" customHeight="1" spans="2:9" x14ac:dyDescent="0.25">
      <c r="B23" s="5"/>
      <c r="C23" s="5" t="s">
        <v>62</v>
      </c>
      <c r="D23" s="5" t="s">
        <v>587</v>
      </c>
      <c r="E23" s="5"/>
      <c r="F23" s="5"/>
      <c r="G23" s="5" t="s">
        <v>573</v>
      </c>
      <c r="H23" s="5"/>
      <c r="I23" s="5" t="s">
        <v>588</v>
      </c>
    </row>
    <row r="24" ht="15.75" customHeight="1" spans="2:9" x14ac:dyDescent="0.25">
      <c r="B24" s="25" t="s">
        <v>139</v>
      </c>
      <c r="C24" s="10"/>
      <c r="D24" s="10"/>
      <c r="E24" s="10"/>
      <c r="F24" s="10"/>
      <c r="G24" s="10"/>
      <c r="H24" s="10"/>
      <c r="I24" s="2"/>
    </row>
    <row r="25" ht="18" customHeight="1" spans="2:9" x14ac:dyDescent="0.25">
      <c r="B25" s="5"/>
      <c r="C25" s="5" t="s">
        <v>62</v>
      </c>
      <c r="D25" s="5" t="s">
        <v>589</v>
      </c>
      <c r="E25" s="5"/>
      <c r="F25" s="5"/>
      <c r="G25" s="5" t="s">
        <v>580</v>
      </c>
      <c r="H25" s="5"/>
      <c r="I25" s="5" t="s">
        <v>590</v>
      </c>
    </row>
    <row r="26" ht="18" customHeight="1" spans="2:9" x14ac:dyDescent="0.25">
      <c r="B26" s="5"/>
      <c r="C26" s="5" t="s">
        <v>52</v>
      </c>
      <c r="D26" s="5" t="s">
        <v>591</v>
      </c>
      <c r="E26" s="5"/>
      <c r="F26" s="5"/>
      <c r="G26" s="5" t="s">
        <v>592</v>
      </c>
      <c r="H26" s="5"/>
      <c r="I26" s="5" t="s">
        <v>593</v>
      </c>
    </row>
    <row r="27" ht="18" customHeight="1" spans="2:9" x14ac:dyDescent="0.25">
      <c r="B27" s="5"/>
      <c r="C27" s="5" t="s">
        <v>57</v>
      </c>
      <c r="D27" s="5" t="s">
        <v>594</v>
      </c>
      <c r="E27" s="5"/>
      <c r="F27" s="5"/>
      <c r="G27" s="5" t="s">
        <v>595</v>
      </c>
      <c r="H27" s="5"/>
      <c r="I27" s="5" t="s">
        <v>596</v>
      </c>
    </row>
    <row r="28" ht="15.75" customHeight="1" spans="2:9" x14ac:dyDescent="0.25">
      <c r="B28" s="25" t="s">
        <v>148</v>
      </c>
      <c r="C28" s="10"/>
      <c r="D28" s="10"/>
      <c r="E28" s="10"/>
      <c r="F28" s="10"/>
      <c r="G28" s="10"/>
      <c r="H28" s="10"/>
      <c r="I28" s="2"/>
    </row>
    <row r="29" ht="18" customHeight="1" spans="2:9" x14ac:dyDescent="0.25">
      <c r="B29" s="5"/>
      <c r="C29" s="5" t="s">
        <v>52</v>
      </c>
      <c r="D29" s="5" t="s">
        <v>597</v>
      </c>
      <c r="E29" s="5"/>
      <c r="F29" s="5"/>
      <c r="G29" s="5" t="s">
        <v>559</v>
      </c>
      <c r="H29" s="5"/>
      <c r="I29" s="5" t="s">
        <v>598</v>
      </c>
    </row>
    <row r="30" ht="18" customHeight="1" spans="2:9" x14ac:dyDescent="0.25">
      <c r="B30" s="5"/>
      <c r="C30" s="5" t="s">
        <v>62</v>
      </c>
      <c r="D30" s="5" t="s">
        <v>599</v>
      </c>
      <c r="E30" s="5"/>
      <c r="F30" s="5"/>
      <c r="G30" s="5" t="s">
        <v>580</v>
      </c>
      <c r="H30" s="5"/>
      <c r="I30" s="5" t="s">
        <v>600</v>
      </c>
    </row>
    <row r="31" ht="18" customHeight="1" spans="2:9" x14ac:dyDescent="0.25">
      <c r="B31" s="5"/>
      <c r="C31" s="5"/>
      <c r="D31" s="5"/>
      <c r="E31" s="5"/>
      <c r="F31" s="5"/>
      <c r="G31" s="5"/>
      <c r="H31" s="5"/>
      <c r="I31" s="5"/>
    </row>
    <row r="32" ht="15.75" customHeight="1" spans="2:9" x14ac:dyDescent="0.25">
      <c r="B32" s="25" t="s">
        <v>149</v>
      </c>
      <c r="C32" s="10"/>
      <c r="D32" s="10"/>
      <c r="E32" s="10"/>
      <c r="F32" s="10"/>
      <c r="G32" s="10"/>
      <c r="H32" s="10"/>
      <c r="I32" s="2"/>
    </row>
    <row r="33" ht="18" customHeight="1" spans="2:9" x14ac:dyDescent="0.25">
      <c r="B33" s="5"/>
      <c r="C33" s="5" t="s">
        <v>52</v>
      </c>
      <c r="D33" s="5" t="s">
        <v>601</v>
      </c>
      <c r="E33" s="5"/>
      <c r="F33" s="5"/>
      <c r="G33" s="5" t="s">
        <v>602</v>
      </c>
      <c r="H33" s="5"/>
      <c r="I33" s="5" t="s">
        <v>603</v>
      </c>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2:9" x14ac:dyDescent="0.25">
      <c r="B37" s="7" t="s">
        <v>150</v>
      </c>
      <c r="C37" s="10"/>
      <c r="D37" s="10"/>
      <c r="E37" s="10"/>
      <c r="F37" s="10"/>
      <c r="G37" s="10"/>
      <c r="H37" s="10"/>
      <c r="I37" s="2"/>
    </row>
    <row r="38" ht="13.5" customHeight="1" spans="2:9" x14ac:dyDescent="0.25">
      <c r="B38" s="21" t="s">
        <v>151</v>
      </c>
      <c r="C38" s="20"/>
      <c r="D38" s="20"/>
      <c r="E38" s="20"/>
      <c r="F38" s="20"/>
      <c r="G38" s="20"/>
      <c r="H38" s="20"/>
      <c r="I38" s="20"/>
    </row>
    <row r="39" ht="19.5" customHeight="1" spans="2:9" x14ac:dyDescent="0.25">
      <c r="B39" s="26" t="s">
        <v>152</v>
      </c>
      <c r="C39" s="26" t="s">
        <v>153</v>
      </c>
      <c r="D39" s="26" t="s">
        <v>154</v>
      </c>
      <c r="E39" s="26" t="s">
        <v>155</v>
      </c>
      <c r="F39" s="10"/>
      <c r="G39" s="10"/>
      <c r="H39" s="10"/>
      <c r="I39" s="2"/>
    </row>
    <row r="40" ht="21.75" customHeight="1" spans="2:9" x14ac:dyDescent="0.25">
      <c r="B40" s="27" t="s">
        <v>218</v>
      </c>
      <c r="C40" s="10"/>
      <c r="D40" s="2"/>
      <c r="E40" s="5" t="s">
        <v>604</v>
      </c>
      <c r="F40" s="10"/>
      <c r="G40" s="10"/>
      <c r="H40" s="10"/>
      <c r="I40" s="2"/>
    </row>
    <row r="41" ht="21.75" customHeight="1" spans="2:9" x14ac:dyDescent="0.25">
      <c r="B41" s="28" t="s">
        <v>158</v>
      </c>
      <c r="C41" s="10"/>
      <c r="D41" s="2"/>
      <c r="E41" s="5" t="s">
        <v>605</v>
      </c>
      <c r="F41" s="10"/>
      <c r="G41" s="10"/>
      <c r="H41" s="10"/>
      <c r="I41" s="2"/>
    </row>
    <row r="42" ht="21.75" customHeight="1" spans="2:9" x14ac:dyDescent="0.25">
      <c r="B42" s="28" t="s">
        <v>160</v>
      </c>
      <c r="C42" s="10"/>
      <c r="D42" s="2"/>
      <c r="E42" s="5" t="s">
        <v>606</v>
      </c>
      <c r="F42" s="10"/>
      <c r="G42" s="10"/>
      <c r="H42" s="10"/>
      <c r="I42" s="2"/>
    </row>
    <row r="43" ht="21.75" customHeight="1" spans="2:9" x14ac:dyDescent="0.25">
      <c r="B43" s="28" t="s">
        <v>162</v>
      </c>
      <c r="C43" s="10"/>
      <c r="D43" s="2"/>
      <c r="E43" s="5" t="s">
        <v>607</v>
      </c>
      <c r="F43" s="10"/>
      <c r="G43" s="10"/>
      <c r="H43" s="10"/>
      <c r="I43" s="2"/>
    </row>
    <row r="44" ht="21.75" customHeight="1" spans="2:9" x14ac:dyDescent="0.25">
      <c r="B44" s="27" t="s">
        <v>218</v>
      </c>
      <c r="C44" s="10"/>
      <c r="D44" s="2"/>
      <c r="E44" s="5" t="s">
        <v>608</v>
      </c>
      <c r="F44" s="10"/>
      <c r="G44" s="10"/>
      <c r="H44" s="10"/>
      <c r="I44" s="2"/>
    </row>
    <row r="45" ht="21.75" customHeight="1" spans="2:9" x14ac:dyDescent="0.25">
      <c r="B45" s="28" t="s">
        <v>158</v>
      </c>
      <c r="C45" s="10"/>
      <c r="D45" s="2"/>
      <c r="E45" s="5" t="s">
        <v>609</v>
      </c>
      <c r="F45" s="10"/>
      <c r="G45" s="10"/>
      <c r="H45" s="10"/>
      <c r="I45" s="2"/>
    </row>
    <row r="46" ht="21.75" customHeight="1" spans="2:9" x14ac:dyDescent="0.25">
      <c r="B46" s="28" t="s">
        <v>160</v>
      </c>
      <c r="C46" s="10"/>
      <c r="D46" s="2"/>
      <c r="E46" s="5" t="s">
        <v>610</v>
      </c>
      <c r="F46" s="10"/>
      <c r="G46" s="10"/>
      <c r="H46" s="10"/>
      <c r="I46" s="2"/>
    </row>
    <row r="47" ht="21.75" customHeight="1" spans="2:9" x14ac:dyDescent="0.25">
      <c r="B47" s="28" t="s">
        <v>162</v>
      </c>
      <c r="C47" s="10"/>
      <c r="D47" s="2"/>
      <c r="E47" s="5" t="s">
        <v>611</v>
      </c>
      <c r="F47" s="10"/>
      <c r="G47" s="10"/>
      <c r="H47" s="10"/>
      <c r="I47" s="2"/>
    </row>
    <row r="48" ht="21.75" customHeight="1" spans="2:9" x14ac:dyDescent="0.25">
      <c r="B48" s="27" t="s">
        <v>218</v>
      </c>
      <c r="C48" s="10"/>
      <c r="D48" s="2"/>
      <c r="E48" s="5" t="s">
        <v>612</v>
      </c>
      <c r="F48" s="10"/>
      <c r="G48" s="10"/>
      <c r="H48" s="10"/>
      <c r="I48" s="2"/>
    </row>
    <row r="49" ht="21.75" customHeight="1" spans="2:9" x14ac:dyDescent="0.25">
      <c r="B49" s="28" t="s">
        <v>158</v>
      </c>
      <c r="C49" s="10"/>
      <c r="D49" s="2"/>
      <c r="E49" s="5" t="s">
        <v>613</v>
      </c>
      <c r="F49" s="10"/>
      <c r="G49" s="10"/>
      <c r="H49" s="10"/>
      <c r="I49" s="2"/>
    </row>
    <row r="50" ht="21.75" customHeight="1" spans="2:9" x14ac:dyDescent="0.25">
      <c r="B50" s="28" t="s">
        <v>160</v>
      </c>
      <c r="C50" s="10"/>
      <c r="D50" s="2"/>
      <c r="E50" s="5" t="s">
        <v>614</v>
      </c>
      <c r="F50" s="10"/>
      <c r="G50" s="10"/>
      <c r="H50" s="10"/>
      <c r="I50" s="2"/>
    </row>
    <row r="51" ht="21.75" customHeight="1" spans="2:9" x14ac:dyDescent="0.25">
      <c r="B51" s="28" t="s">
        <v>162</v>
      </c>
      <c r="C51" s="10"/>
      <c r="D51" s="2"/>
      <c r="E51" s="5" t="s">
        <v>615</v>
      </c>
      <c r="F51" s="10"/>
      <c r="G51" s="10"/>
      <c r="H51" s="10"/>
      <c r="I51" s="2"/>
    </row>
    <row r="52" ht="21.75" customHeight="1" spans="2:9" x14ac:dyDescent="0.25">
      <c r="B52" s="27"/>
      <c r="C52" s="10"/>
      <c r="D52" s="2"/>
      <c r="E52" s="5"/>
      <c r="F52" s="10"/>
      <c r="G52" s="10"/>
      <c r="H52" s="10"/>
      <c r="I52" s="2"/>
    </row>
    <row r="53" ht="21.75" customHeight="1" spans="2:9" x14ac:dyDescent="0.25">
      <c r="B53" s="28" t="s">
        <v>158</v>
      </c>
      <c r="C53" s="10"/>
      <c r="D53" s="2"/>
      <c r="E53" s="5"/>
      <c r="F53" s="10"/>
      <c r="G53" s="10"/>
      <c r="H53" s="10"/>
      <c r="I53" s="2"/>
    </row>
    <row r="54" ht="21.75" customHeight="1" spans="2:9" x14ac:dyDescent="0.25">
      <c r="B54" s="28" t="s">
        <v>160</v>
      </c>
      <c r="C54" s="10"/>
      <c r="D54" s="2"/>
      <c r="E54" s="5"/>
      <c r="F54" s="10"/>
      <c r="G54" s="10"/>
      <c r="H54" s="10"/>
      <c r="I54" s="2"/>
    </row>
    <row r="55" ht="21.75" customHeight="1" spans="2:9" x14ac:dyDescent="0.25">
      <c r="B55" s="28" t="s">
        <v>162</v>
      </c>
      <c r="C55" s="10"/>
      <c r="D55" s="2"/>
      <c r="E55" s="5"/>
      <c r="F55" s="10"/>
      <c r="G55" s="10"/>
      <c r="H55" s="10"/>
      <c r="I55" s="2"/>
    </row>
    <row r="56" spans="5:9" x14ac:dyDescent="0.25">
      <c r="E56" s="5"/>
      <c r="F56" s="10"/>
      <c r="G56" s="10"/>
      <c r="H56" s="10"/>
      <c r="I56" s="2"/>
    </row>
    <row r="57" ht="21.75" customHeight="1" spans="2:9" x14ac:dyDescent="0.25">
      <c r="B57" s="30" t="s">
        <v>175</v>
      </c>
      <c r="C57" s="10"/>
      <c r="D57" s="10"/>
      <c r="E57" s="10"/>
      <c r="F57" s="10"/>
      <c r="G57" s="10"/>
      <c r="H57" s="10"/>
      <c r="I57" s="2"/>
    </row>
    <row r="58" ht="13.5" customHeight="1" spans="2:9" x14ac:dyDescent="0.25">
      <c r="B58" s="21" t="s">
        <v>176</v>
      </c>
      <c r="C58" s="20"/>
      <c r="D58" s="20"/>
      <c r="E58" s="20"/>
      <c r="F58" s="20"/>
      <c r="G58" s="20"/>
      <c r="H58" s="20"/>
      <c r="I58" s="20"/>
    </row>
    <row r="59" ht="18" customHeight="1" spans="2:9" x14ac:dyDescent="0.25">
      <c r="B59" s="31" t="s">
        <v>177</v>
      </c>
      <c r="C59" s="10"/>
      <c r="D59" s="10"/>
      <c r="E59" s="10"/>
      <c r="F59" s="10"/>
      <c r="G59" s="10"/>
      <c r="H59" s="10"/>
      <c r="I59" s="2"/>
    </row>
    <row r="60" ht="18" customHeight="1" spans="2:9" x14ac:dyDescent="0.25">
      <c r="B60" s="15" t="s">
        <v>178</v>
      </c>
      <c r="C60" s="10"/>
      <c r="D60" s="2"/>
      <c r="E60" s="32" t="s">
        <v>616</v>
      </c>
      <c r="F60" s="20"/>
      <c r="G60" s="20"/>
      <c r="H60" s="20"/>
      <c r="I60" s="20"/>
    </row>
    <row r="61" ht="18" customHeight="1" spans="2:9" x14ac:dyDescent="0.25">
      <c r="B61" s="15" t="s">
        <v>180</v>
      </c>
      <c r="C61" s="10"/>
      <c r="D61" s="2"/>
      <c r="E61" s="32" t="s">
        <v>617</v>
      </c>
      <c r="F61" s="20"/>
      <c r="G61" s="20"/>
      <c r="H61" s="20"/>
      <c r="I61" s="20"/>
    </row>
    <row r="62" ht="18" customHeight="1" spans="2:9" x14ac:dyDescent="0.25">
      <c r="B62" s="15" t="s">
        <v>182</v>
      </c>
      <c r="C62" s="10"/>
      <c r="D62" s="2"/>
      <c r="E62" s="32" t="s">
        <v>618</v>
      </c>
      <c r="F62" s="20"/>
      <c r="G62" s="20"/>
      <c r="H62" s="20"/>
      <c r="I62" s="20"/>
    </row>
    <row r="63" ht="18" customHeight="1" spans="2:9" x14ac:dyDescent="0.25">
      <c r="B63" s="15" t="s">
        <v>184</v>
      </c>
      <c r="C63" s="10"/>
      <c r="D63" s="2"/>
      <c r="E63" s="32" t="s">
        <v>619</v>
      </c>
      <c r="F63" s="20"/>
      <c r="G63" s="20"/>
      <c r="H63" s="20"/>
      <c r="I63" s="20"/>
    </row>
    <row r="64" ht="18" customHeight="1" spans="2:9" x14ac:dyDescent="0.25">
      <c r="B64" s="15" t="s">
        <v>186</v>
      </c>
      <c r="C64" s="10"/>
      <c r="D64" s="2"/>
      <c r="E64" s="32" t="s">
        <v>620</v>
      </c>
      <c r="F64" s="20"/>
      <c r="G64" s="20"/>
      <c r="H64" s="20"/>
      <c r="I64" s="20"/>
    </row>
    <row r="66" ht="18" customHeight="1" spans="2:9" x14ac:dyDescent="0.25">
      <c r="B66" s="31" t="s">
        <v>188</v>
      </c>
      <c r="C66" s="10"/>
      <c r="D66" s="10"/>
      <c r="E66" s="10"/>
      <c r="F66" s="10"/>
      <c r="G66" s="10"/>
      <c r="H66" s="10"/>
      <c r="I66" s="2"/>
    </row>
    <row r="67" ht="18" customHeight="1" spans="2:9" x14ac:dyDescent="0.25">
      <c r="B67" s="15" t="s">
        <v>178</v>
      </c>
      <c r="C67" s="10"/>
      <c r="D67" s="2"/>
      <c r="E67" s="32" t="s">
        <v>621</v>
      </c>
      <c r="F67" s="20"/>
      <c r="G67" s="20"/>
      <c r="H67" s="20"/>
      <c r="I67" s="20"/>
    </row>
    <row r="68" ht="18" customHeight="1" spans="2:9" x14ac:dyDescent="0.25">
      <c r="B68" s="15" t="s">
        <v>180</v>
      </c>
      <c r="C68" s="10"/>
      <c r="D68" s="2"/>
      <c r="E68" s="32" t="s">
        <v>622</v>
      </c>
      <c r="F68" s="20"/>
      <c r="G68" s="20"/>
      <c r="H68" s="20"/>
      <c r="I68" s="20"/>
    </row>
    <row r="69" ht="18" customHeight="1" spans="2:9" x14ac:dyDescent="0.25">
      <c r="B69" s="15" t="s">
        <v>182</v>
      </c>
      <c r="C69" s="10"/>
      <c r="D69" s="2"/>
      <c r="E69" s="32" t="s">
        <v>623</v>
      </c>
      <c r="F69" s="20"/>
      <c r="G69" s="20"/>
      <c r="H69" s="20"/>
      <c r="I69" s="20"/>
    </row>
    <row r="70" ht="18" customHeight="1" spans="2:9" x14ac:dyDescent="0.25">
      <c r="B70" s="15" t="s">
        <v>184</v>
      </c>
      <c r="C70" s="10"/>
      <c r="D70" s="2"/>
      <c r="E70" s="32" t="s">
        <v>624</v>
      </c>
      <c r="F70" s="20"/>
      <c r="G70" s="20"/>
      <c r="H70" s="20"/>
      <c r="I70" s="20"/>
    </row>
    <row r="71" ht="18" customHeight="1" spans="2:9" x14ac:dyDescent="0.25">
      <c r="B71" s="15" t="s">
        <v>186</v>
      </c>
      <c r="C71" s="10"/>
      <c r="D71" s="2"/>
      <c r="E71" s="32" t="s">
        <v>625</v>
      </c>
      <c r="F71" s="20"/>
      <c r="G71" s="20"/>
      <c r="H71" s="20"/>
      <c r="I71" s="20"/>
    </row>
    <row r="73" ht="18" customHeight="1" spans="2:9" x14ac:dyDescent="0.25">
      <c r="B73" s="31" t="s">
        <v>194</v>
      </c>
      <c r="C73" s="10"/>
      <c r="D73" s="10"/>
      <c r="E73" s="10"/>
      <c r="F73" s="10"/>
      <c r="G73" s="10"/>
      <c r="H73" s="10"/>
      <c r="I73" s="2"/>
    </row>
    <row r="74" ht="18" customHeight="1" spans="2:9" x14ac:dyDescent="0.25">
      <c r="B74" s="15" t="s">
        <v>178</v>
      </c>
      <c r="C74" s="10"/>
      <c r="D74" s="2"/>
      <c r="E74" s="28" t="s">
        <v>626</v>
      </c>
      <c r="F74" s="10"/>
      <c r="G74" s="10"/>
      <c r="H74" s="10"/>
      <c r="I74" s="2"/>
    </row>
    <row r="75" ht="18" customHeight="1" spans="2:9" x14ac:dyDescent="0.25">
      <c r="B75" s="15" t="s">
        <v>180</v>
      </c>
      <c r="C75" s="10"/>
      <c r="D75" s="2"/>
      <c r="E75" s="28" t="s">
        <v>627</v>
      </c>
      <c r="F75" s="10"/>
      <c r="G75" s="10"/>
      <c r="H75" s="10"/>
      <c r="I75" s="2"/>
    </row>
    <row r="76" ht="18" customHeight="1" spans="2:9" x14ac:dyDescent="0.25">
      <c r="B76" s="15" t="s">
        <v>182</v>
      </c>
      <c r="C76" s="10"/>
      <c r="D76" s="2"/>
      <c r="E76" s="28" t="s">
        <v>628</v>
      </c>
      <c r="F76" s="10"/>
      <c r="G76" s="10"/>
      <c r="H76" s="10"/>
      <c r="I76" s="2"/>
    </row>
    <row r="77" ht="18" customHeight="1" spans="2:9" x14ac:dyDescent="0.25">
      <c r="B77" s="15" t="s">
        <v>184</v>
      </c>
      <c r="C77" s="10"/>
      <c r="D77" s="2"/>
      <c r="E77" s="28" t="s">
        <v>629</v>
      </c>
      <c r="F77" s="10"/>
      <c r="G77" s="10"/>
      <c r="H77" s="10"/>
      <c r="I77" s="2"/>
    </row>
    <row r="78" ht="18" customHeight="1" spans="2:9" x14ac:dyDescent="0.25">
      <c r="B78" s="15" t="s">
        <v>186</v>
      </c>
      <c r="C78" s="10"/>
      <c r="D78" s="2"/>
      <c r="E78" s="28" t="s">
        <v>630</v>
      </c>
      <c r="F78" s="10"/>
      <c r="G78" s="10"/>
      <c r="H78" s="10"/>
      <c r="I78" s="2"/>
    </row>
    <row r="80" ht="18" customHeight="1" spans="2:9" x14ac:dyDescent="0.25">
      <c r="B80" s="31" t="s">
        <v>200</v>
      </c>
      <c r="C80" s="10"/>
      <c r="D80" s="10"/>
      <c r="E80" s="10"/>
      <c r="F80" s="10"/>
      <c r="G80" s="10"/>
      <c r="H80" s="10"/>
      <c r="I80" s="2"/>
    </row>
    <row r="81" ht="18" customHeight="1" spans="2:9" x14ac:dyDescent="0.25">
      <c r="B81" s="15" t="s">
        <v>178</v>
      </c>
      <c r="C81" s="10"/>
      <c r="D81" s="2"/>
      <c r="E81" s="28"/>
      <c r="F81" s="10"/>
      <c r="G81" s="10"/>
      <c r="H81" s="10"/>
      <c r="I81" s="2"/>
    </row>
    <row r="82" ht="18" customHeight="1" spans="2:9" x14ac:dyDescent="0.25">
      <c r="B82" s="15" t="s">
        <v>180</v>
      </c>
      <c r="C82" s="10"/>
      <c r="D82" s="2"/>
      <c r="E82" s="28"/>
      <c r="F82" s="10"/>
      <c r="G82" s="10"/>
      <c r="H82" s="10"/>
      <c r="I82" s="2"/>
    </row>
    <row r="83" ht="18" customHeight="1" spans="2:9" x14ac:dyDescent="0.25">
      <c r="B83" s="15" t="s">
        <v>182</v>
      </c>
      <c r="C83" s="10"/>
      <c r="D83" s="2"/>
      <c r="E83" s="28"/>
      <c r="F83" s="10"/>
      <c r="G83" s="10"/>
      <c r="H83" s="10"/>
      <c r="I83" s="2"/>
    </row>
    <row r="84" ht="18" customHeight="1" spans="2:9" x14ac:dyDescent="0.25">
      <c r="B84" s="15" t="s">
        <v>184</v>
      </c>
      <c r="C84" s="10"/>
      <c r="D84" s="2"/>
      <c r="E84" s="28"/>
      <c r="F84" s="10"/>
      <c r="G84" s="10"/>
      <c r="H84" s="10"/>
      <c r="I84" s="2"/>
    </row>
    <row r="85" ht="18" customHeight="1" spans="2:9" x14ac:dyDescent="0.25">
      <c r="B85" s="15" t="s">
        <v>186</v>
      </c>
      <c r="C85" s="10"/>
      <c r="D85" s="2"/>
      <c r="E85" s="28"/>
      <c r="F85" s="10"/>
      <c r="G85" s="10"/>
      <c r="H85" s="10"/>
      <c r="I85" s="2"/>
    </row>
    <row r="87" ht="18" customHeight="1" spans="2:9" x14ac:dyDescent="0.25">
      <c r="B87" s="31" t="s">
        <v>206</v>
      </c>
      <c r="C87" s="10"/>
      <c r="D87" s="10"/>
      <c r="E87" s="10"/>
      <c r="F87" s="10"/>
      <c r="G87" s="10"/>
      <c r="H87" s="10"/>
      <c r="I87" s="2"/>
    </row>
    <row r="88" ht="18" customHeight="1" spans="2:9" x14ac:dyDescent="0.25">
      <c r="B88" s="15" t="s">
        <v>178</v>
      </c>
      <c r="C88" s="10"/>
      <c r="D88" s="2"/>
      <c r="E88" s="28"/>
      <c r="F88" s="10"/>
      <c r="G88" s="10"/>
      <c r="H88" s="10"/>
      <c r="I88" s="2"/>
    </row>
    <row r="89" ht="18" customHeight="1" spans="2:9" x14ac:dyDescent="0.25">
      <c r="B89" s="15" t="s">
        <v>180</v>
      </c>
      <c r="C89" s="10"/>
      <c r="D89" s="2"/>
      <c r="E89" s="28"/>
      <c r="F89" s="10"/>
      <c r="G89" s="10"/>
      <c r="H89" s="10"/>
      <c r="I89" s="2"/>
    </row>
    <row r="90" ht="18" customHeight="1" spans="2:9" x14ac:dyDescent="0.25">
      <c r="B90" s="15" t="s">
        <v>182</v>
      </c>
      <c r="C90" s="10"/>
      <c r="D90" s="2"/>
      <c r="E90" s="28"/>
      <c r="F90" s="10"/>
      <c r="G90" s="10"/>
      <c r="H90" s="10"/>
      <c r="I90" s="2"/>
    </row>
    <row r="91" ht="18" customHeight="1" spans="2:9" x14ac:dyDescent="0.25">
      <c r="B91" s="15" t="s">
        <v>184</v>
      </c>
      <c r="C91" s="10"/>
      <c r="D91" s="2"/>
      <c r="E91" s="28"/>
      <c r="F91" s="10"/>
      <c r="G91" s="10"/>
      <c r="H91" s="10"/>
      <c r="I91" s="2"/>
    </row>
    <row r="92" ht="18" customHeight="1" spans="2:9" x14ac:dyDescent="0.25">
      <c r="B92" s="15" t="s">
        <v>186</v>
      </c>
      <c r="C92" s="10"/>
      <c r="D92" s="2"/>
      <c r="E92" s="28"/>
      <c r="F92" s="10"/>
      <c r="G92" s="10"/>
      <c r="H92" s="10"/>
      <c r="I92" s="2"/>
    </row>
    <row r="94" ht="15.75" customHeight="1" spans="2:9" x14ac:dyDescent="0.25">
      <c r="B94" s="34" t="s">
        <v>631</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94"/>
  <sheetViews>
    <sheetView workbookViewId="0" showGridLines="0" zoomScale="100" zoomScaleNormal="100">
      <selection activeCell="E71" sqref="E71"/>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2:9" x14ac:dyDescent="0.25">
      <c r="B2" s="18" t="s">
        <v>79</v>
      </c>
      <c r="C2" s="10"/>
      <c r="D2" s="10"/>
      <c r="E2" s="10"/>
      <c r="F2" s="10"/>
      <c r="G2" s="10"/>
      <c r="H2" s="10"/>
      <c r="I2" s="2"/>
    </row>
    <row r="3" ht="15.75" customHeight="1" spans="2:9" x14ac:dyDescent="0.25">
      <c r="B3" s="19" t="s">
        <v>80</v>
      </c>
      <c r="C3" s="20"/>
      <c r="D3" s="20"/>
      <c r="E3" s="20"/>
      <c r="F3" s="20"/>
      <c r="G3" s="20"/>
      <c r="H3" s="20"/>
      <c r="I3" s="20"/>
    </row>
    <row r="5" ht="21.75" customHeight="1" spans="2:9" x14ac:dyDescent="0.25">
      <c r="B5" s="6" t="s">
        <v>81</v>
      </c>
      <c r="C5" s="10"/>
      <c r="D5" s="10"/>
      <c r="E5" s="10"/>
      <c r="F5" s="10"/>
      <c r="G5" s="10"/>
      <c r="H5" s="10"/>
      <c r="I5" s="2"/>
    </row>
    <row r="6" ht="13.5" customHeight="1" spans="2:9" x14ac:dyDescent="0.25">
      <c r="B6" s="21" t="s">
        <v>82</v>
      </c>
      <c r="C6" s="20"/>
      <c r="D6" s="20"/>
      <c r="E6" s="20"/>
      <c r="F6" s="20"/>
      <c r="G6" s="20"/>
      <c r="H6" s="20"/>
      <c r="I6" s="20"/>
    </row>
    <row r="7" ht="19.5" customHeight="1" spans="2:9" x14ac:dyDescent="0.25">
      <c r="B7" s="12" t="s">
        <v>83</v>
      </c>
      <c r="C7" s="12" t="s">
        <v>84</v>
      </c>
      <c r="D7" s="12" t="s">
        <v>85</v>
      </c>
      <c r="E7" s="12" t="s">
        <v>86</v>
      </c>
      <c r="F7" s="12" t="s">
        <v>87</v>
      </c>
      <c r="G7" s="12" t="s">
        <v>88</v>
      </c>
      <c r="H7" s="12" t="s">
        <v>89</v>
      </c>
      <c r="I7" s="12" t="s">
        <v>90</v>
      </c>
    </row>
    <row r="8" ht="18" customHeight="1" spans="2:9" x14ac:dyDescent="0.25">
      <c r="B8" s="5" t="s">
        <v>632</v>
      </c>
      <c r="C8" s="5" t="s">
        <v>52</v>
      </c>
      <c r="D8" s="5" t="s">
        <v>92</v>
      </c>
      <c r="E8" s="5" t="s">
        <v>633</v>
      </c>
      <c r="F8" s="5" t="s">
        <v>634</v>
      </c>
      <c r="G8" s="5" t="s">
        <v>95</v>
      </c>
      <c r="H8" s="5" t="s">
        <v>635</v>
      </c>
      <c r="I8" s="5" t="s">
        <v>636</v>
      </c>
    </row>
    <row r="9" ht="18" customHeight="1" spans="2:9" x14ac:dyDescent="0.25">
      <c r="B9" s="5" t="s">
        <v>632</v>
      </c>
      <c r="C9" s="5" t="s">
        <v>57</v>
      </c>
      <c r="D9" s="5" t="s">
        <v>92</v>
      </c>
      <c r="E9" s="5" t="s">
        <v>637</v>
      </c>
      <c r="F9" s="5" t="s">
        <v>638</v>
      </c>
      <c r="G9" s="5" t="s">
        <v>100</v>
      </c>
      <c r="H9" s="5" t="s">
        <v>639</v>
      </c>
      <c r="I9" s="5" t="s">
        <v>640</v>
      </c>
    </row>
    <row r="10" ht="18" customHeight="1" spans="2:9" x14ac:dyDescent="0.25">
      <c r="B10" s="5" t="s">
        <v>632</v>
      </c>
      <c r="C10" s="5" t="s">
        <v>62</v>
      </c>
      <c r="D10" s="5" t="s">
        <v>92</v>
      </c>
      <c r="E10" s="5" t="s">
        <v>641</v>
      </c>
      <c r="F10" s="5" t="s">
        <v>642</v>
      </c>
      <c r="G10" s="5" t="s">
        <v>95</v>
      </c>
      <c r="H10" s="5" t="s">
        <v>643</v>
      </c>
      <c r="I10" s="5" t="s">
        <v>644</v>
      </c>
    </row>
    <row r="11" ht="18" customHeight="1" spans="2:9" x14ac:dyDescent="0.25">
      <c r="B11" s="5"/>
      <c r="C11" s="5"/>
      <c r="D11" s="5"/>
      <c r="E11" s="5"/>
      <c r="F11" s="5"/>
      <c r="G11" s="5"/>
      <c r="H11" s="5"/>
      <c r="I11" s="5"/>
    </row>
    <row r="12" ht="18" customHeight="1" spans="2:9" x14ac:dyDescent="0.25">
      <c r="B12" s="5"/>
      <c r="C12" s="5"/>
      <c r="D12" s="5"/>
      <c r="E12" s="5"/>
      <c r="F12" s="5"/>
      <c r="G12" s="5"/>
      <c r="H12" s="5"/>
      <c r="I12" s="5"/>
    </row>
    <row r="13" ht="18" customHeight="1" spans="2:9" x14ac:dyDescent="0.25">
      <c r="B13" s="5"/>
      <c r="C13" s="5"/>
      <c r="D13" s="5"/>
      <c r="E13" s="5"/>
      <c r="F13" s="5"/>
      <c r="G13" s="5"/>
      <c r="H13" s="5"/>
      <c r="I13" s="5"/>
    </row>
    <row r="14" ht="18" customHeight="1" spans="2:9" x14ac:dyDescent="0.25">
      <c r="B14" s="5"/>
      <c r="C14" s="5"/>
      <c r="D14" s="5"/>
      <c r="E14" s="5"/>
      <c r="F14" s="5"/>
      <c r="G14" s="5"/>
      <c r="H14" s="5"/>
      <c r="I14" s="5"/>
    </row>
    <row r="15" ht="18" customHeight="1" spans="2:9" x14ac:dyDescent="0.25">
      <c r="B15" s="5"/>
      <c r="C15" s="5"/>
      <c r="D15" s="5"/>
      <c r="E15" s="5"/>
      <c r="F15" s="5"/>
      <c r="G15" s="5"/>
      <c r="H15" s="5"/>
      <c r="I15" s="5"/>
    </row>
    <row r="17" ht="21.75" customHeight="1" spans="2:9" x14ac:dyDescent="0.25">
      <c r="B17" s="8" t="s">
        <v>127</v>
      </c>
      <c r="C17" s="10"/>
      <c r="D17" s="10"/>
      <c r="E17" s="10"/>
      <c r="F17" s="10"/>
      <c r="G17" s="10"/>
      <c r="H17" s="10"/>
      <c r="I17" s="2"/>
    </row>
    <row r="18" ht="13.5" customHeight="1" spans="2:9" x14ac:dyDescent="0.25">
      <c r="B18" s="21" t="s">
        <v>31</v>
      </c>
      <c r="C18" s="20"/>
      <c r="D18" s="20"/>
      <c r="E18" s="20"/>
      <c r="F18" s="20"/>
      <c r="G18" s="20"/>
      <c r="H18" s="20"/>
      <c r="I18" s="20"/>
    </row>
    <row r="19" ht="19.5" customHeight="1" spans="2:9" x14ac:dyDescent="0.25">
      <c r="B19" s="24" t="s">
        <v>128</v>
      </c>
      <c r="C19" s="24" t="s">
        <v>84</v>
      </c>
      <c r="D19" s="24" t="s">
        <v>129</v>
      </c>
      <c r="E19" s="10"/>
      <c r="F19" s="2"/>
      <c r="G19" s="24" t="s">
        <v>130</v>
      </c>
      <c r="H19" s="2"/>
      <c r="I19" s="24" t="s">
        <v>51</v>
      </c>
    </row>
    <row r="20" ht="15.75" customHeight="1" spans="2:9" x14ac:dyDescent="0.25">
      <c r="B20" s="25" t="s">
        <v>131</v>
      </c>
      <c r="C20" s="10"/>
      <c r="D20" s="10"/>
      <c r="E20" s="10"/>
      <c r="F20" s="10"/>
      <c r="G20" s="10"/>
      <c r="H20" s="10"/>
      <c r="I20" s="2"/>
    </row>
    <row r="21" ht="18" customHeight="1" spans="2:9" x14ac:dyDescent="0.25">
      <c r="B21" s="5"/>
      <c r="C21" s="5" t="s">
        <v>52</v>
      </c>
      <c r="D21" s="5"/>
      <c r="E21" s="5" t="s">
        <v>645</v>
      </c>
      <c r="F21" s="5"/>
      <c r="G21" s="5"/>
      <c r="H21" s="5"/>
      <c r="I21" s="5"/>
    </row>
    <row r="22" ht="18" customHeight="1" spans="2:9" x14ac:dyDescent="0.25">
      <c r="B22" s="5"/>
      <c r="C22" s="5"/>
      <c r="D22" s="5"/>
      <c r="E22" s="5"/>
      <c r="F22" s="5"/>
      <c r="G22" s="5"/>
      <c r="H22" s="5"/>
      <c r="I22" s="5"/>
    </row>
    <row r="23" ht="18" customHeight="1" spans="2:9" x14ac:dyDescent="0.25">
      <c r="B23" s="5"/>
      <c r="C23" s="5"/>
      <c r="D23" s="5"/>
      <c r="E23" s="5"/>
      <c r="F23" s="5"/>
      <c r="G23" s="5"/>
      <c r="H23" s="5"/>
      <c r="I23" s="5"/>
    </row>
    <row r="24" ht="15.75" customHeight="1" spans="2:9" x14ac:dyDescent="0.25">
      <c r="B24" s="25" t="s">
        <v>139</v>
      </c>
      <c r="C24" s="10"/>
      <c r="D24" s="10"/>
      <c r="E24" s="10"/>
      <c r="F24" s="10"/>
      <c r="G24" s="10"/>
      <c r="H24" s="10"/>
      <c r="I24" s="2"/>
    </row>
    <row r="25" ht="18" customHeight="1" spans="2:9" x14ac:dyDescent="0.25">
      <c r="B25" s="5"/>
      <c r="C25" s="5" t="s">
        <v>52</v>
      </c>
      <c r="D25" s="5"/>
      <c r="E25" s="5" t="s">
        <v>646</v>
      </c>
      <c r="F25" s="5"/>
      <c r="G25" s="5"/>
      <c r="H25" s="5"/>
      <c r="I25" s="5"/>
    </row>
    <row r="26" ht="18" customHeight="1" spans="2:9" x14ac:dyDescent="0.25">
      <c r="B26" s="5"/>
      <c r="C26" s="5"/>
      <c r="D26" s="5"/>
      <c r="E26" s="5"/>
      <c r="F26" s="5"/>
      <c r="G26" s="5"/>
      <c r="H26" s="5"/>
      <c r="I26" s="5"/>
    </row>
    <row r="27" ht="18" customHeight="1" spans="2:9" x14ac:dyDescent="0.25">
      <c r="B27" s="5"/>
      <c r="C27" s="5"/>
      <c r="D27" s="5"/>
      <c r="E27" s="5"/>
      <c r="F27" s="5"/>
      <c r="G27" s="5"/>
      <c r="H27" s="5"/>
      <c r="I27" s="5"/>
    </row>
    <row r="28" ht="15.75" customHeight="1" spans="2:9" x14ac:dyDescent="0.25">
      <c r="B28" s="25" t="s">
        <v>148</v>
      </c>
      <c r="C28" s="10"/>
      <c r="D28" s="10"/>
      <c r="E28" s="10"/>
      <c r="F28" s="10"/>
      <c r="G28" s="10"/>
      <c r="H28" s="10"/>
      <c r="I28" s="2"/>
    </row>
    <row r="29" ht="18" customHeight="1" spans="2:9" x14ac:dyDescent="0.25">
      <c r="B29" s="5"/>
      <c r="C29" s="5" t="s">
        <v>52</v>
      </c>
      <c r="D29" s="5"/>
      <c r="E29" s="5" t="s">
        <v>647</v>
      </c>
      <c r="F29" s="5"/>
      <c r="G29" s="5"/>
      <c r="H29" s="5"/>
      <c r="I29" s="5"/>
    </row>
    <row r="30" ht="18" customHeight="1" spans="2:9" x14ac:dyDescent="0.25">
      <c r="B30" s="5"/>
      <c r="C30" s="5"/>
      <c r="D30" s="5"/>
      <c r="E30" s="5"/>
      <c r="F30" s="5"/>
      <c r="G30" s="5"/>
      <c r="H30" s="5"/>
      <c r="I30" s="5"/>
    </row>
    <row r="31" ht="18" customHeight="1" spans="2:9" x14ac:dyDescent="0.25">
      <c r="B31" s="5"/>
      <c r="C31" s="5"/>
      <c r="D31" s="5"/>
      <c r="E31" s="5"/>
      <c r="F31" s="5"/>
      <c r="G31" s="5"/>
      <c r="H31" s="5"/>
      <c r="I31" s="5"/>
    </row>
    <row r="32" ht="15.75" customHeight="1" spans="2:9" x14ac:dyDescent="0.25">
      <c r="B32" s="25" t="s">
        <v>149</v>
      </c>
      <c r="C32" s="10"/>
      <c r="D32" s="10"/>
      <c r="E32" s="10"/>
      <c r="F32" s="10"/>
      <c r="G32" s="10"/>
      <c r="H32" s="10"/>
      <c r="I32" s="2"/>
    </row>
    <row r="33" ht="18" customHeight="1" spans="2:9" x14ac:dyDescent="0.25">
      <c r="B33" s="5"/>
      <c r="C33" s="5"/>
      <c r="D33" s="5"/>
      <c r="E33" s="5"/>
      <c r="F33" s="5"/>
      <c r="G33" s="5"/>
      <c r="H33" s="5"/>
      <c r="I33" s="5"/>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2:9" x14ac:dyDescent="0.25">
      <c r="B37" s="7" t="s">
        <v>150</v>
      </c>
      <c r="C37" s="10"/>
      <c r="D37" s="10"/>
      <c r="E37" s="10"/>
      <c r="F37" s="10"/>
      <c r="G37" s="10"/>
      <c r="H37" s="10"/>
      <c r="I37" s="2"/>
    </row>
    <row r="38" ht="13.5" customHeight="1" spans="2:9" x14ac:dyDescent="0.25">
      <c r="B38" s="21" t="s">
        <v>151</v>
      </c>
      <c r="C38" s="20"/>
      <c r="D38" s="20"/>
      <c r="E38" s="20"/>
      <c r="F38" s="20"/>
      <c r="G38" s="20"/>
      <c r="H38" s="20"/>
      <c r="I38" s="20"/>
    </row>
    <row r="39" ht="19.5" customHeight="1" spans="2:9" x14ac:dyDescent="0.25">
      <c r="B39" s="26" t="s">
        <v>152</v>
      </c>
      <c r="C39" s="26" t="s">
        <v>153</v>
      </c>
      <c r="D39" s="26" t="s">
        <v>154</v>
      </c>
      <c r="E39" s="26" t="s">
        <v>155</v>
      </c>
      <c r="F39" s="10"/>
      <c r="G39" s="10"/>
      <c r="H39" s="10"/>
      <c r="I39" s="2"/>
    </row>
    <row r="40" ht="21.75" customHeight="1" spans="2:9" x14ac:dyDescent="0.25">
      <c r="B40" s="27" t="s">
        <v>248</v>
      </c>
      <c r="C40" s="10"/>
      <c r="D40" s="2"/>
      <c r="E40" s="5" t="s">
        <v>648</v>
      </c>
      <c r="F40" s="10"/>
      <c r="G40" s="10"/>
      <c r="H40" s="10"/>
      <c r="I40" s="2"/>
    </row>
    <row r="41" ht="21.75" customHeight="1" spans="2:9" x14ac:dyDescent="0.25">
      <c r="B41" s="28" t="s">
        <v>158</v>
      </c>
      <c r="C41" s="10"/>
      <c r="D41" s="2"/>
      <c r="E41" s="5" t="s">
        <v>649</v>
      </c>
      <c r="F41" s="10"/>
      <c r="G41" s="10"/>
      <c r="H41" s="10"/>
      <c r="I41" s="2"/>
    </row>
    <row r="42" ht="21.75" customHeight="1" spans="2:9" x14ac:dyDescent="0.25">
      <c r="B42" s="28" t="s">
        <v>160</v>
      </c>
      <c r="C42" s="10"/>
      <c r="D42" s="2"/>
      <c r="E42" s="5" t="s">
        <v>650</v>
      </c>
      <c r="F42" s="10"/>
      <c r="G42" s="10"/>
      <c r="H42" s="10"/>
      <c r="I42" s="2"/>
    </row>
    <row r="43" ht="21.75" customHeight="1" spans="2:9" x14ac:dyDescent="0.25">
      <c r="B43" s="28" t="s">
        <v>162</v>
      </c>
      <c r="C43" s="10"/>
      <c r="D43" s="2"/>
      <c r="E43" s="5" t="s">
        <v>651</v>
      </c>
      <c r="F43" s="10"/>
      <c r="G43" s="10"/>
      <c r="H43" s="10"/>
      <c r="I43" s="2"/>
    </row>
    <row r="44" ht="21.75" customHeight="1" spans="2:9" x14ac:dyDescent="0.25">
      <c r="B44" s="27" t="s">
        <v>373</v>
      </c>
      <c r="C44" s="10"/>
      <c r="D44" s="2"/>
      <c r="E44" s="5"/>
      <c r="F44" s="10"/>
      <c r="G44" s="10"/>
      <c r="H44" s="10"/>
      <c r="I44" s="2"/>
    </row>
    <row r="45" ht="21.75" customHeight="1" spans="2:9" x14ac:dyDescent="0.25">
      <c r="B45" s="28" t="s">
        <v>158</v>
      </c>
      <c r="C45" s="10"/>
      <c r="D45" s="2"/>
      <c r="E45" s="5"/>
      <c r="F45" s="10"/>
      <c r="G45" s="10"/>
      <c r="H45" s="10"/>
      <c r="I45" s="2"/>
    </row>
    <row r="46" ht="21.75" customHeight="1" spans="2:9" x14ac:dyDescent="0.25">
      <c r="B46" s="28" t="s">
        <v>160</v>
      </c>
      <c r="C46" s="10"/>
      <c r="D46" s="2"/>
      <c r="E46" s="5"/>
      <c r="F46" s="10"/>
      <c r="G46" s="10"/>
      <c r="H46" s="10"/>
      <c r="I46" s="2"/>
    </row>
    <row r="47" ht="21.75" customHeight="1" spans="2:9" x14ac:dyDescent="0.25">
      <c r="B47" s="28" t="s">
        <v>162</v>
      </c>
      <c r="C47" s="10"/>
      <c r="D47" s="2"/>
      <c r="E47" s="5"/>
      <c r="F47" s="10"/>
      <c r="G47" s="10"/>
      <c r="H47" s="10"/>
      <c r="I47" s="2"/>
    </row>
    <row r="48" ht="21.75" customHeight="1" spans="2:9" x14ac:dyDescent="0.25">
      <c r="B48" s="27" t="s">
        <v>374</v>
      </c>
      <c r="C48" s="10"/>
      <c r="D48" s="2"/>
      <c r="E48" s="5"/>
      <c r="F48" s="10"/>
      <c r="G48" s="10"/>
      <c r="H48" s="10"/>
      <c r="I48" s="2"/>
    </row>
    <row r="49" ht="21.75" customHeight="1" spans="2:9" x14ac:dyDescent="0.25">
      <c r="B49" s="28" t="s">
        <v>158</v>
      </c>
      <c r="C49" s="10"/>
      <c r="D49" s="2"/>
      <c r="E49" s="5"/>
      <c r="F49" s="10"/>
      <c r="G49" s="10"/>
      <c r="H49" s="10"/>
      <c r="I49" s="2"/>
    </row>
    <row r="50" ht="21.75" customHeight="1" spans="2:9" x14ac:dyDescent="0.25">
      <c r="B50" s="28" t="s">
        <v>160</v>
      </c>
      <c r="C50" s="10"/>
      <c r="D50" s="2"/>
      <c r="E50" s="5"/>
      <c r="F50" s="10"/>
      <c r="G50" s="10"/>
      <c r="H50" s="10"/>
      <c r="I50" s="2"/>
    </row>
    <row r="51" ht="21.75" customHeight="1" spans="2:9" x14ac:dyDescent="0.25">
      <c r="B51" s="28" t="s">
        <v>162</v>
      </c>
      <c r="C51" s="10"/>
      <c r="D51" s="2"/>
      <c r="E51" s="5"/>
      <c r="F51" s="10"/>
      <c r="G51" s="10"/>
      <c r="H51" s="10"/>
      <c r="I51" s="2"/>
    </row>
    <row r="52" ht="21.75" customHeight="1" spans="2:9" x14ac:dyDescent="0.25">
      <c r="B52" s="27" t="s">
        <v>174</v>
      </c>
      <c r="C52" s="10"/>
      <c r="D52" s="2"/>
      <c r="E52" s="5"/>
      <c r="F52" s="10"/>
      <c r="G52" s="10"/>
      <c r="H52" s="10"/>
      <c r="I52" s="2"/>
    </row>
    <row r="53" ht="21.75" customHeight="1" spans="2:9" x14ac:dyDescent="0.25">
      <c r="B53" s="28" t="s">
        <v>158</v>
      </c>
      <c r="C53" s="10"/>
      <c r="D53" s="2"/>
      <c r="E53" s="5"/>
      <c r="F53" s="10"/>
      <c r="G53" s="10"/>
      <c r="H53" s="10"/>
      <c r="I53" s="2"/>
    </row>
    <row r="54" ht="21.75" customHeight="1" spans="2:9" x14ac:dyDescent="0.25">
      <c r="B54" s="28" t="s">
        <v>160</v>
      </c>
      <c r="C54" s="10"/>
      <c r="D54" s="2"/>
      <c r="E54" s="5"/>
      <c r="F54" s="10"/>
      <c r="G54" s="10"/>
      <c r="H54" s="10"/>
      <c r="I54" s="2"/>
    </row>
    <row r="55" ht="21.75" customHeight="1" spans="2:9" x14ac:dyDescent="0.25">
      <c r="B55" s="28" t="s">
        <v>162</v>
      </c>
      <c r="C55" s="10"/>
      <c r="D55" s="2"/>
      <c r="E55" s="5"/>
      <c r="F55" s="10"/>
      <c r="G55" s="10"/>
      <c r="H55" s="10"/>
      <c r="I55" s="2"/>
    </row>
    <row r="56" spans="5:9" x14ac:dyDescent="0.25">
      <c r="E56" s="5"/>
      <c r="F56" s="10"/>
      <c r="G56" s="10"/>
      <c r="H56" s="10"/>
      <c r="I56" s="2"/>
    </row>
    <row r="57" ht="21.75" customHeight="1" spans="2:9" x14ac:dyDescent="0.25">
      <c r="B57" s="30" t="s">
        <v>175</v>
      </c>
      <c r="C57" s="10"/>
      <c r="D57" s="10"/>
      <c r="E57" s="10"/>
      <c r="F57" s="10"/>
      <c r="G57" s="10"/>
      <c r="H57" s="10"/>
      <c r="I57" s="2"/>
    </row>
    <row r="58" ht="13.5" customHeight="1" spans="2:9" x14ac:dyDescent="0.25">
      <c r="B58" s="21" t="s">
        <v>176</v>
      </c>
      <c r="C58" s="20"/>
      <c r="D58" s="20"/>
      <c r="E58" s="20"/>
      <c r="F58" s="20"/>
      <c r="G58" s="20"/>
      <c r="H58" s="20"/>
      <c r="I58" s="20"/>
    </row>
    <row r="59" ht="18" customHeight="1" spans="2:9" x14ac:dyDescent="0.25">
      <c r="B59" s="31" t="s">
        <v>375</v>
      </c>
      <c r="C59" s="10"/>
      <c r="D59" s="10"/>
      <c r="E59" s="10"/>
      <c r="F59" s="10"/>
      <c r="G59" s="10"/>
      <c r="H59" s="10"/>
      <c r="I59" s="2"/>
    </row>
    <row r="60" ht="18" customHeight="1" spans="2:9" x14ac:dyDescent="0.25">
      <c r="B60" s="15" t="s">
        <v>178</v>
      </c>
      <c r="C60" s="10"/>
      <c r="D60" s="2"/>
      <c r="E60" s="32" t="s">
        <v>652</v>
      </c>
      <c r="F60" s="20"/>
      <c r="G60" s="20"/>
      <c r="H60" s="20"/>
      <c r="I60" s="20"/>
    </row>
    <row r="61" ht="18" customHeight="1" spans="2:9" x14ac:dyDescent="0.25">
      <c r="B61" s="15" t="s">
        <v>180</v>
      </c>
      <c r="C61" s="10"/>
      <c r="D61" s="2"/>
      <c r="E61" s="32" t="s">
        <v>653</v>
      </c>
      <c r="F61" s="20"/>
      <c r="G61" s="20"/>
      <c r="H61" s="20"/>
      <c r="I61" s="20"/>
    </row>
    <row r="62" ht="18" customHeight="1" spans="2:9" x14ac:dyDescent="0.25">
      <c r="B62" s="15" t="s">
        <v>182</v>
      </c>
      <c r="C62" s="10"/>
      <c r="D62" s="2"/>
      <c r="E62" s="32" t="s">
        <v>654</v>
      </c>
      <c r="F62" s="20"/>
      <c r="G62" s="20"/>
      <c r="H62" s="20"/>
      <c r="I62" s="20"/>
    </row>
    <row r="63" ht="18" customHeight="1" spans="2:9" x14ac:dyDescent="0.25">
      <c r="B63" s="15" t="s">
        <v>184</v>
      </c>
      <c r="C63" s="10"/>
      <c r="D63" s="2"/>
      <c r="E63" s="32" t="s">
        <v>655</v>
      </c>
      <c r="F63" s="20"/>
      <c r="G63" s="20"/>
      <c r="H63" s="20"/>
      <c r="I63" s="20"/>
    </row>
    <row r="64" ht="18" customHeight="1" spans="2:9" x14ac:dyDescent="0.25">
      <c r="B64" s="15" t="s">
        <v>186</v>
      </c>
      <c r="C64" s="10"/>
      <c r="D64" s="2"/>
      <c r="E64" s="32" t="s">
        <v>656</v>
      </c>
      <c r="F64" s="20"/>
      <c r="G64" s="20"/>
      <c r="H64" s="20"/>
      <c r="I64" s="20"/>
    </row>
    <row r="66" ht="18" customHeight="1" spans="2:9" x14ac:dyDescent="0.25">
      <c r="B66" s="31" t="s">
        <v>188</v>
      </c>
      <c r="C66" s="10"/>
      <c r="D66" s="10"/>
      <c r="E66" s="10"/>
      <c r="F66" s="10"/>
      <c r="G66" s="10"/>
      <c r="H66" s="10"/>
      <c r="I66" s="2"/>
    </row>
    <row r="67" ht="18" customHeight="1" spans="2:9" x14ac:dyDescent="0.25">
      <c r="B67" s="15" t="s">
        <v>657</v>
      </c>
      <c r="C67" s="10"/>
      <c r="D67" s="2"/>
      <c r="E67" s="32" t="s">
        <v>201</v>
      </c>
      <c r="F67" s="20"/>
      <c r="G67" s="20"/>
      <c r="H67" s="20"/>
      <c r="I67" s="20"/>
    </row>
    <row r="68" ht="18" customHeight="1" spans="2:9" x14ac:dyDescent="0.25">
      <c r="B68" s="15" t="s">
        <v>658</v>
      </c>
      <c r="C68" s="10"/>
      <c r="D68" s="2"/>
      <c r="E68" s="32" t="s">
        <v>202</v>
      </c>
      <c r="F68" s="20"/>
      <c r="G68" s="20"/>
      <c r="H68" s="20"/>
      <c r="I68" s="20"/>
    </row>
    <row r="69" ht="18" customHeight="1" spans="2:9" x14ac:dyDescent="0.25">
      <c r="B69" s="15" t="s">
        <v>659</v>
      </c>
      <c r="C69" s="10"/>
      <c r="D69" s="2"/>
      <c r="E69" s="32" t="s">
        <v>203</v>
      </c>
      <c r="F69" s="20"/>
      <c r="G69" s="20"/>
      <c r="H69" s="20"/>
      <c r="I69" s="20"/>
    </row>
    <row r="70" ht="18" customHeight="1" spans="2:9" x14ac:dyDescent="0.25">
      <c r="B70" s="15" t="s">
        <v>660</v>
      </c>
      <c r="C70" s="10"/>
      <c r="D70" s="2"/>
      <c r="E70" s="32" t="s">
        <v>204</v>
      </c>
      <c r="F70" s="20"/>
      <c r="G70" s="20"/>
      <c r="H70" s="20"/>
      <c r="I70" s="20"/>
    </row>
    <row r="71" ht="18" customHeight="1" spans="2:9" x14ac:dyDescent="0.25">
      <c r="B71" s="15" t="s">
        <v>661</v>
      </c>
      <c r="C71" s="10"/>
      <c r="D71" s="2"/>
      <c r="E71" s="32" t="s">
        <v>205</v>
      </c>
      <c r="F71" s="20"/>
      <c r="G71" s="20"/>
      <c r="H71" s="20"/>
      <c r="I71" s="20"/>
    </row>
    <row r="73" ht="18" customHeight="1" spans="2:9" x14ac:dyDescent="0.25">
      <c r="B73" s="31" t="s">
        <v>194</v>
      </c>
      <c r="C73" s="10"/>
      <c r="D73" s="10"/>
      <c r="E73" s="10"/>
      <c r="F73" s="10"/>
      <c r="G73" s="10"/>
      <c r="H73" s="10"/>
      <c r="I73" s="2"/>
    </row>
    <row r="74" ht="18" customHeight="1" spans="2:9" x14ac:dyDescent="0.25">
      <c r="B74" s="15" t="s">
        <v>662</v>
      </c>
      <c r="C74" s="10"/>
      <c r="D74" s="2"/>
      <c r="E74" s="28" t="s">
        <v>201</v>
      </c>
      <c r="F74" s="10"/>
      <c r="G74" s="10"/>
      <c r="H74" s="10"/>
      <c r="I74" s="2"/>
    </row>
    <row r="75" ht="18" customHeight="1" spans="2:9" x14ac:dyDescent="0.25">
      <c r="B75" s="15" t="s">
        <v>663</v>
      </c>
      <c r="C75" s="10"/>
      <c r="D75" s="2"/>
      <c r="E75" s="28" t="s">
        <v>202</v>
      </c>
      <c r="F75" s="10"/>
      <c r="G75" s="10"/>
      <c r="H75" s="10"/>
      <c r="I75" s="2"/>
    </row>
    <row r="76" ht="18" customHeight="1" spans="2:9" x14ac:dyDescent="0.25">
      <c r="B76" s="15" t="s">
        <v>664</v>
      </c>
      <c r="C76" s="10"/>
      <c r="D76" s="2"/>
      <c r="E76" s="28" t="s">
        <v>203</v>
      </c>
      <c r="F76" s="10"/>
      <c r="G76" s="10"/>
      <c r="H76" s="10"/>
      <c r="I76" s="2"/>
    </row>
    <row r="77" ht="18" customHeight="1" spans="2:9" x14ac:dyDescent="0.25">
      <c r="B77" s="15" t="s">
        <v>665</v>
      </c>
      <c r="C77" s="10"/>
      <c r="D77" s="2"/>
      <c r="E77" s="28" t="s">
        <v>204</v>
      </c>
      <c r="F77" s="10"/>
      <c r="G77" s="10"/>
      <c r="H77" s="10"/>
      <c r="I77" s="2"/>
    </row>
    <row r="78" ht="18" customHeight="1" spans="2:9" x14ac:dyDescent="0.25">
      <c r="B78" s="15" t="s">
        <v>666</v>
      </c>
      <c r="C78" s="10"/>
      <c r="D78" s="2"/>
      <c r="E78" s="28" t="s">
        <v>205</v>
      </c>
      <c r="F78" s="10"/>
      <c r="G78" s="10"/>
      <c r="H78" s="10"/>
      <c r="I78" s="2"/>
    </row>
    <row r="80" ht="18" customHeight="1" spans="2:9" x14ac:dyDescent="0.25">
      <c r="B80" s="31" t="s">
        <v>200</v>
      </c>
      <c r="C80" s="10"/>
      <c r="D80" s="10"/>
      <c r="E80" s="10"/>
      <c r="F80" s="10"/>
      <c r="G80" s="10"/>
      <c r="H80" s="10"/>
      <c r="I80" s="2"/>
    </row>
    <row r="81" ht="18" customHeight="1" spans="2:9" x14ac:dyDescent="0.25">
      <c r="B81" s="15" t="s">
        <v>178</v>
      </c>
      <c r="C81" s="10"/>
      <c r="D81" s="2"/>
      <c r="E81" s="28" t="s">
        <v>201</v>
      </c>
      <c r="F81" s="10"/>
      <c r="G81" s="10"/>
      <c r="H81" s="10"/>
      <c r="I81" s="2"/>
    </row>
    <row r="82" ht="18" customHeight="1" spans="2:9" x14ac:dyDescent="0.25">
      <c r="B82" s="15" t="s">
        <v>180</v>
      </c>
      <c r="C82" s="10"/>
      <c r="D82" s="2"/>
      <c r="E82" s="28" t="s">
        <v>202</v>
      </c>
      <c r="F82" s="10"/>
      <c r="G82" s="10"/>
      <c r="H82" s="10"/>
      <c r="I82" s="2"/>
    </row>
    <row r="83" ht="18" customHeight="1" spans="2:9" x14ac:dyDescent="0.25">
      <c r="B83" s="15" t="s">
        <v>182</v>
      </c>
      <c r="C83" s="10"/>
      <c r="D83" s="2"/>
      <c r="E83" s="28" t="s">
        <v>203</v>
      </c>
      <c r="F83" s="10"/>
      <c r="G83" s="10"/>
      <c r="H83" s="10"/>
      <c r="I83" s="2"/>
    </row>
    <row r="84" ht="18" customHeight="1" spans="2:9" x14ac:dyDescent="0.25">
      <c r="B84" s="15" t="s">
        <v>184</v>
      </c>
      <c r="C84" s="10"/>
      <c r="D84" s="2"/>
      <c r="E84" s="28" t="s">
        <v>204</v>
      </c>
      <c r="F84" s="10"/>
      <c r="G84" s="10"/>
      <c r="H84" s="10"/>
      <c r="I84" s="2"/>
    </row>
    <row r="85" ht="18" customHeight="1" spans="2:9" x14ac:dyDescent="0.25">
      <c r="B85" s="15" t="s">
        <v>186</v>
      </c>
      <c r="C85" s="10"/>
      <c r="D85" s="2"/>
      <c r="E85" s="28" t="s">
        <v>205</v>
      </c>
      <c r="F85" s="10"/>
      <c r="G85" s="10"/>
      <c r="H85" s="10"/>
      <c r="I85" s="2"/>
    </row>
    <row r="87" ht="18" customHeight="1" spans="2:9" x14ac:dyDescent="0.25">
      <c r="B87" s="31" t="s">
        <v>206</v>
      </c>
      <c r="C87" s="10"/>
      <c r="D87" s="10"/>
      <c r="E87" s="10"/>
      <c r="F87" s="10"/>
      <c r="G87" s="10"/>
      <c r="H87" s="10"/>
      <c r="I87" s="2"/>
    </row>
    <row r="88" ht="18" customHeight="1" spans="2:9" x14ac:dyDescent="0.25">
      <c r="B88" s="15" t="s">
        <v>178</v>
      </c>
      <c r="C88" s="10"/>
      <c r="D88" s="2"/>
      <c r="E88" s="28" t="s">
        <v>201</v>
      </c>
      <c r="F88" s="10"/>
      <c r="G88" s="10"/>
      <c r="H88" s="10"/>
      <c r="I88" s="2"/>
    </row>
    <row r="89" ht="18" customHeight="1" spans="2:9" x14ac:dyDescent="0.25">
      <c r="B89" s="15" t="s">
        <v>180</v>
      </c>
      <c r="C89" s="10"/>
      <c r="D89" s="2"/>
      <c r="E89" s="28" t="s">
        <v>202</v>
      </c>
      <c r="F89" s="10"/>
      <c r="G89" s="10"/>
      <c r="H89" s="10"/>
      <c r="I89" s="2"/>
    </row>
    <row r="90" ht="18" customHeight="1" spans="2:9" x14ac:dyDescent="0.25">
      <c r="B90" s="15" t="s">
        <v>182</v>
      </c>
      <c r="C90" s="10"/>
      <c r="D90" s="2"/>
      <c r="E90" s="28" t="s">
        <v>203</v>
      </c>
      <c r="F90" s="10"/>
      <c r="G90" s="10"/>
      <c r="H90" s="10"/>
      <c r="I90" s="2"/>
    </row>
    <row r="91" ht="18" customHeight="1" spans="2:9" x14ac:dyDescent="0.25">
      <c r="B91" s="15" t="s">
        <v>184</v>
      </c>
      <c r="C91" s="10"/>
      <c r="D91" s="2"/>
      <c r="E91" s="28" t="s">
        <v>204</v>
      </c>
      <c r="F91" s="10"/>
      <c r="G91" s="10"/>
      <c r="H91" s="10"/>
      <c r="I91" s="2"/>
    </row>
    <row r="92" ht="18" customHeight="1" spans="2:9" x14ac:dyDescent="0.25">
      <c r="B92" s="15" t="s">
        <v>186</v>
      </c>
      <c r="C92" s="10"/>
      <c r="D92" s="2"/>
      <c r="E92" s="28" t="s">
        <v>205</v>
      </c>
      <c r="F92" s="10"/>
      <c r="G92" s="10"/>
      <c r="H92" s="10"/>
      <c r="I92" s="2"/>
    </row>
    <row r="94" ht="15.75" customHeight="1" spans="2:9" x14ac:dyDescent="0.25">
      <c r="B94" s="34" t="s">
        <v>667</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4"/>
  <sheetViews>
    <sheetView workbookViewId="0" showGridLines="0" zoomScale="100" zoomScaleNormal="100">
      <selection activeCell="E71" sqref="E71"/>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1:9" x14ac:dyDescent="0.25">
      <c r="B2" s="18" t="s">
        <v>79</v>
      </c>
      <c r="C2" s="10"/>
      <c r="D2" s="10"/>
      <c r="E2" s="10"/>
      <c r="F2" s="10"/>
      <c r="G2" s="10"/>
      <c r="H2" s="10"/>
      <c r="I2" s="2"/>
    </row>
    <row r="3" ht="15.75" customHeight="1" spans="1:9" x14ac:dyDescent="0.25">
      <c r="B3" s="19" t="s">
        <v>80</v>
      </c>
      <c r="C3" s="20"/>
      <c r="D3" s="20"/>
      <c r="E3" s="20"/>
      <c r="F3" s="20"/>
      <c r="G3" s="20"/>
      <c r="H3" s="20"/>
      <c r="I3" s="20"/>
    </row>
    <row r="5" ht="21.75" customHeight="1" spans="1:9" x14ac:dyDescent="0.25">
      <c r="B5" s="6" t="s">
        <v>81</v>
      </c>
      <c r="C5" s="10"/>
      <c r="D5" s="10"/>
      <c r="E5" s="10"/>
      <c r="F5" s="10"/>
      <c r="G5" s="10"/>
      <c r="H5" s="10"/>
      <c r="I5" s="2"/>
    </row>
    <row r="6" ht="13.5" customHeight="1" spans="1:9" x14ac:dyDescent="0.25">
      <c r="B6" s="21" t="s">
        <v>82</v>
      </c>
      <c r="C6" s="20"/>
      <c r="D6" s="20"/>
      <c r="E6" s="20"/>
      <c r="F6" s="20"/>
      <c r="G6" s="20"/>
      <c r="H6" s="20"/>
      <c r="I6" s="20"/>
    </row>
    <row r="7" ht="19.5" customHeight="1" spans="1:9" x14ac:dyDescent="0.25">
      <c r="B7" s="12" t="s">
        <v>83</v>
      </c>
      <c r="C7" s="12" t="s">
        <v>84</v>
      </c>
      <c r="D7" s="12" t="s">
        <v>85</v>
      </c>
      <c r="E7" s="12" t="s">
        <v>86</v>
      </c>
      <c r="F7" s="12" t="s">
        <v>87</v>
      </c>
      <c r="G7" s="12" t="s">
        <v>88</v>
      </c>
      <c r="H7" s="12" t="s">
        <v>89</v>
      </c>
      <c r="I7" s="12" t="s">
        <v>90</v>
      </c>
    </row>
    <row r="8" ht="18" customHeight="1" spans="1:9" x14ac:dyDescent="0.25">
      <c r="B8" s="5" t="s">
        <v>668</v>
      </c>
      <c r="C8" s="5" t="s">
        <v>52</v>
      </c>
      <c r="D8" s="5" t="s">
        <v>92</v>
      </c>
      <c r="E8" s="5" t="s">
        <v>669</v>
      </c>
      <c r="F8" s="5" t="s">
        <v>670</v>
      </c>
      <c r="G8" s="5" t="s">
        <v>95</v>
      </c>
      <c r="H8" s="5" t="s">
        <v>671</v>
      </c>
      <c r="I8" s="5" t="s">
        <v>672</v>
      </c>
    </row>
    <row r="9" ht="18" customHeight="1" spans="1:9" x14ac:dyDescent="0.25">
      <c r="B9" s="5" t="s">
        <v>668</v>
      </c>
      <c r="C9" s="5" t="s">
        <v>57</v>
      </c>
      <c r="D9" s="5" t="s">
        <v>92</v>
      </c>
      <c r="E9" s="5" t="s">
        <v>673</v>
      </c>
      <c r="F9" s="5" t="s">
        <v>674</v>
      </c>
      <c r="G9" s="5" t="s">
        <v>95</v>
      </c>
      <c r="H9" s="5" t="s">
        <v>675</v>
      </c>
      <c r="I9" s="5" t="s">
        <v>676</v>
      </c>
    </row>
    <row r="10" ht="18" customHeight="1" spans="1:9" x14ac:dyDescent="0.25">
      <c r="B10" s="5" t="s">
        <v>668</v>
      </c>
      <c r="C10" s="5" t="s">
        <v>62</v>
      </c>
      <c r="D10" s="5" t="s">
        <v>92</v>
      </c>
      <c r="E10" s="5" t="s">
        <v>677</v>
      </c>
      <c r="F10" s="5" t="s">
        <v>678</v>
      </c>
      <c r="G10" s="5" t="s">
        <v>100</v>
      </c>
      <c r="H10" s="5" t="s">
        <v>679</v>
      </c>
      <c r="I10" s="5" t="s">
        <v>680</v>
      </c>
    </row>
    <row r="11" ht="18" customHeight="1" spans="2:9" x14ac:dyDescent="0.25">
      <c r="B11" s="5"/>
      <c r="C11" s="5"/>
      <c r="D11" s="5"/>
      <c r="E11" s="5"/>
      <c r="F11" s="5"/>
      <c r="G11" s="5"/>
      <c r="H11" s="5"/>
      <c r="I11" s="5"/>
    </row>
    <row r="12" ht="18" customHeight="1" spans="2:9" x14ac:dyDescent="0.25">
      <c r="B12" s="5"/>
      <c r="C12" s="5"/>
      <c r="D12" s="5"/>
      <c r="E12" s="5"/>
      <c r="F12" s="5"/>
      <c r="G12" s="5"/>
      <c r="H12" s="5"/>
      <c r="I12" s="5"/>
    </row>
    <row r="13" ht="18" customHeight="1" spans="2:9" x14ac:dyDescent="0.25">
      <c r="B13" s="5"/>
      <c r="C13" s="5"/>
      <c r="D13" s="5"/>
      <c r="E13" s="5"/>
      <c r="F13" s="5"/>
      <c r="G13" s="5"/>
      <c r="H13" s="5"/>
      <c r="I13" s="5"/>
    </row>
    <row r="14" ht="18" customHeight="1" spans="2:9" x14ac:dyDescent="0.25">
      <c r="B14" s="5"/>
      <c r="C14" s="5"/>
      <c r="D14" s="5"/>
      <c r="E14" s="5"/>
      <c r="F14" s="5"/>
      <c r="G14" s="5"/>
      <c r="H14" s="5"/>
      <c r="I14" s="5"/>
    </row>
    <row r="15" ht="18" customHeight="1" spans="2:9" x14ac:dyDescent="0.25">
      <c r="B15" s="5"/>
      <c r="C15" s="5"/>
      <c r="D15" s="5"/>
      <c r="E15" s="5"/>
      <c r="F15" s="5"/>
      <c r="G15" s="5"/>
      <c r="H15" s="5"/>
      <c r="I15" s="5"/>
    </row>
    <row r="17" ht="21.75" customHeight="1" spans="1:9" x14ac:dyDescent="0.25">
      <c r="B17" s="8" t="s">
        <v>127</v>
      </c>
      <c r="C17" s="10"/>
      <c r="D17" s="10"/>
      <c r="E17" s="10"/>
      <c r="F17" s="10"/>
      <c r="G17" s="10"/>
      <c r="H17" s="10"/>
      <c r="I17" s="2"/>
    </row>
    <row r="18" ht="13.5" customHeight="1" spans="1:9" x14ac:dyDescent="0.25">
      <c r="B18" s="21" t="s">
        <v>31</v>
      </c>
      <c r="C18" s="20"/>
      <c r="D18" s="20"/>
      <c r="E18" s="20"/>
      <c r="F18" s="20"/>
      <c r="G18" s="20"/>
      <c r="H18" s="20"/>
      <c r="I18" s="20"/>
    </row>
    <row r="19" ht="19.5" customHeight="1" spans="1:9" x14ac:dyDescent="0.25">
      <c r="B19" s="24" t="s">
        <v>128</v>
      </c>
      <c r="C19" s="24" t="s">
        <v>84</v>
      </c>
      <c r="D19" s="24" t="s">
        <v>129</v>
      </c>
      <c r="E19" s="10"/>
      <c r="F19" s="2"/>
      <c r="G19" s="24" t="s">
        <v>130</v>
      </c>
      <c r="H19" s="2"/>
      <c r="I19" s="24" t="s">
        <v>51</v>
      </c>
    </row>
    <row r="20" ht="15.75" customHeight="1" spans="1:9" x14ac:dyDescent="0.25">
      <c r="B20" s="25" t="s">
        <v>131</v>
      </c>
      <c r="C20" s="10"/>
      <c r="D20" s="10"/>
      <c r="E20" s="10"/>
      <c r="F20" s="10"/>
      <c r="G20" s="10"/>
      <c r="H20" s="10"/>
      <c r="I20" s="2"/>
    </row>
    <row r="21" ht="18" customHeight="1" spans="1:9" x14ac:dyDescent="0.25">
      <c r="B21" s="5"/>
      <c r="C21" s="5" t="s">
        <v>52</v>
      </c>
      <c r="D21" s="5"/>
      <c r="E21" s="5" t="s">
        <v>681</v>
      </c>
      <c r="F21" s="5"/>
      <c r="G21" s="5" t="s">
        <v>670</v>
      </c>
      <c r="H21" s="5"/>
      <c r="I21" s="5" t="s">
        <v>682</v>
      </c>
    </row>
    <row r="22" ht="18" customHeight="1" spans="1:9" x14ac:dyDescent="0.25">
      <c r="B22" s="5"/>
      <c r="C22" s="5" t="s">
        <v>57</v>
      </c>
      <c r="D22" s="5"/>
      <c r="E22" s="5" t="s">
        <v>683</v>
      </c>
      <c r="F22" s="5"/>
      <c r="G22" s="5" t="s">
        <v>674</v>
      </c>
      <c r="H22" s="5"/>
      <c r="I22" s="5" t="s">
        <v>684</v>
      </c>
    </row>
    <row r="23" ht="18" customHeight="1" spans="1:9" x14ac:dyDescent="0.25">
      <c r="B23" s="5"/>
      <c r="C23" s="5" t="s">
        <v>62</v>
      </c>
      <c r="D23" s="5"/>
      <c r="E23" s="5" t="s">
        <v>685</v>
      </c>
      <c r="F23" s="5"/>
      <c r="G23" s="5" t="s">
        <v>678</v>
      </c>
      <c r="H23" s="5"/>
      <c r="I23" s="5" t="s">
        <v>686</v>
      </c>
    </row>
    <row r="24" ht="15.75" customHeight="1" spans="1:9" x14ac:dyDescent="0.25">
      <c r="B24" s="25" t="s">
        <v>139</v>
      </c>
      <c r="C24" s="10"/>
      <c r="D24" s="10"/>
      <c r="E24" s="10"/>
      <c r="F24" s="10"/>
      <c r="G24" s="10"/>
      <c r="H24" s="10"/>
      <c r="I24" s="2"/>
    </row>
    <row r="25" ht="18" customHeight="1" spans="1:9" x14ac:dyDescent="0.25">
      <c r="B25" s="5"/>
      <c r="C25" s="5" t="s">
        <v>52</v>
      </c>
      <c r="D25" s="5"/>
      <c r="E25" s="5" t="s">
        <v>687</v>
      </c>
      <c r="F25" s="5"/>
      <c r="G25" s="5" t="s">
        <v>638</v>
      </c>
      <c r="H25" s="5"/>
      <c r="I25" s="5" t="s">
        <v>688</v>
      </c>
    </row>
    <row r="26" ht="18" customHeight="1" spans="1:9" x14ac:dyDescent="0.25">
      <c r="B26" s="5"/>
      <c r="C26" s="5" t="s">
        <v>57</v>
      </c>
      <c r="D26" s="5"/>
      <c r="E26" s="5" t="s">
        <v>689</v>
      </c>
      <c r="F26" s="5"/>
      <c r="G26" s="5" t="s">
        <v>638</v>
      </c>
      <c r="H26" s="5"/>
      <c r="I26" s="5" t="s">
        <v>690</v>
      </c>
    </row>
    <row r="27" ht="18" customHeight="1" spans="1:9" x14ac:dyDescent="0.25">
      <c r="B27" s="5"/>
      <c r="C27" s="5" t="s">
        <v>62</v>
      </c>
      <c r="D27" s="5"/>
      <c r="E27" s="5" t="s">
        <v>691</v>
      </c>
      <c r="F27" s="5"/>
      <c r="G27" s="5" t="s">
        <v>692</v>
      </c>
      <c r="H27" s="5"/>
      <c r="I27" s="5" t="s">
        <v>693</v>
      </c>
    </row>
    <row r="28" ht="15.75" customHeight="1" spans="1:9" x14ac:dyDescent="0.25">
      <c r="B28" s="25" t="s">
        <v>148</v>
      </c>
      <c r="C28" s="10"/>
      <c r="D28" s="10"/>
      <c r="E28" s="10"/>
      <c r="F28" s="10"/>
      <c r="G28" s="10"/>
      <c r="H28" s="10"/>
      <c r="I28" s="2"/>
    </row>
    <row r="29" ht="18" customHeight="1" spans="1:9" x14ac:dyDescent="0.25">
      <c r="B29" s="5"/>
      <c r="C29" s="5" t="s">
        <v>52</v>
      </c>
      <c r="D29" s="5"/>
      <c r="E29" s="5" t="s">
        <v>694</v>
      </c>
      <c r="F29" s="5"/>
      <c r="G29" s="5" t="s">
        <v>670</v>
      </c>
      <c r="H29" s="5"/>
      <c r="I29" s="5" t="s">
        <v>695</v>
      </c>
    </row>
    <row r="30" ht="18" customHeight="1" spans="1:9" x14ac:dyDescent="0.25">
      <c r="B30" s="5"/>
      <c r="C30" s="5" t="s">
        <v>57</v>
      </c>
      <c r="D30" s="5"/>
      <c r="E30" s="5" t="s">
        <v>696</v>
      </c>
      <c r="F30" s="5"/>
      <c r="G30" s="5" t="s">
        <v>346</v>
      </c>
      <c r="H30" s="5"/>
      <c r="I30" s="5" t="s">
        <v>697</v>
      </c>
    </row>
    <row r="31" ht="18" customHeight="1" spans="1:9" x14ac:dyDescent="0.25">
      <c r="B31" s="5"/>
      <c r="C31" s="5" t="s">
        <v>62</v>
      </c>
      <c r="D31" s="5"/>
      <c r="E31" s="5" t="s">
        <v>698</v>
      </c>
      <c r="F31" s="5"/>
      <c r="G31" s="5" t="s">
        <v>678</v>
      </c>
      <c r="H31" s="5"/>
      <c r="I31" s="5" t="s">
        <v>699</v>
      </c>
    </row>
    <row r="32" ht="15.75" customHeight="1" spans="1:9" x14ac:dyDescent="0.25">
      <c r="B32" s="25" t="s">
        <v>149</v>
      </c>
      <c r="C32" s="10"/>
      <c r="D32" s="10"/>
      <c r="E32" s="10"/>
      <c r="F32" s="10"/>
      <c r="G32" s="10"/>
      <c r="H32" s="10"/>
      <c r="I32" s="2"/>
    </row>
    <row r="33" ht="18" customHeight="1" spans="2:9" x14ac:dyDescent="0.25">
      <c r="B33" s="5"/>
      <c r="C33" s="5"/>
      <c r="D33" s="5"/>
      <c r="E33" s="5"/>
      <c r="F33" s="5"/>
      <c r="G33" s="5"/>
      <c r="H33" s="5"/>
      <c r="I33" s="5"/>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1:9" x14ac:dyDescent="0.25">
      <c r="B37" s="7" t="s">
        <v>150</v>
      </c>
      <c r="C37" s="10"/>
      <c r="D37" s="10"/>
      <c r="E37" s="10"/>
      <c r="F37" s="10"/>
      <c r="G37" s="10"/>
      <c r="H37" s="10"/>
      <c r="I37" s="2"/>
    </row>
    <row r="38" ht="13.5" customHeight="1" spans="1:9" x14ac:dyDescent="0.25">
      <c r="B38" s="21" t="s">
        <v>151</v>
      </c>
      <c r="C38" s="20"/>
      <c r="D38" s="20"/>
      <c r="E38" s="20"/>
      <c r="F38" s="20"/>
      <c r="G38" s="20"/>
      <c r="H38" s="20"/>
      <c r="I38" s="20"/>
    </row>
    <row r="39" ht="19.5" customHeight="1" spans="1:9" x14ac:dyDescent="0.25">
      <c r="A39" t="s">
        <v>248</v>
      </c>
      <c r="B39" s="26" t="s">
        <v>152</v>
      </c>
      <c r="C39" s="26" t="s">
        <v>153</v>
      </c>
      <c r="D39" s="26" t="s">
        <v>700</v>
      </c>
      <c r="E39" s="26" t="s">
        <v>155</v>
      </c>
      <c r="F39" s="10"/>
      <c r="G39" s="10"/>
      <c r="H39" s="10"/>
      <c r="I39" s="2"/>
    </row>
    <row r="40" ht="21.75" customHeight="1" spans="1:9" x14ac:dyDescent="0.25">
      <c r="B40" s="27" t="s">
        <v>701</v>
      </c>
      <c r="C40" s="10"/>
      <c r="D40" s="2"/>
      <c r="E40" s="5"/>
      <c r="F40" s="10"/>
      <c r="G40" s="10"/>
      <c r="H40" s="10"/>
      <c r="I40" s="2"/>
    </row>
    <row r="41" ht="21.75" customHeight="1" spans="1:9" x14ac:dyDescent="0.25">
      <c r="B41" s="28" t="s">
        <v>702</v>
      </c>
      <c r="C41" s="10"/>
      <c r="D41" s="2"/>
      <c r="E41" s="5"/>
      <c r="F41" s="10"/>
      <c r="G41" s="10"/>
      <c r="H41" s="10"/>
      <c r="I41" s="2"/>
    </row>
    <row r="42" ht="21.75" customHeight="1" spans="1:9" x14ac:dyDescent="0.25">
      <c r="B42" s="28" t="s">
        <v>703</v>
      </c>
      <c r="C42" s="10"/>
      <c r="D42" s="2"/>
      <c r="E42" s="5"/>
      <c r="F42" s="10"/>
      <c r="G42" s="10"/>
      <c r="H42" s="10"/>
      <c r="I42" s="2"/>
    </row>
    <row r="43" ht="21.75" customHeight="1" spans="1:9" x14ac:dyDescent="0.25">
      <c r="A43" t="s">
        <v>704</v>
      </c>
      <c r="B43" s="28" t="s">
        <v>705</v>
      </c>
      <c r="C43" s="10"/>
      <c r="D43" s="2"/>
      <c r="E43" s="5"/>
      <c r="F43" s="10"/>
      <c r="G43" s="10"/>
      <c r="H43" s="10"/>
      <c r="I43" s="2"/>
    </row>
    <row r="44" ht="21.75" customHeight="1" spans="1:9" x14ac:dyDescent="0.25">
      <c r="B44" s="27" t="s">
        <v>706</v>
      </c>
      <c r="C44" s="10"/>
      <c r="D44" s="2"/>
      <c r="E44" s="5"/>
      <c r="F44" s="10"/>
      <c r="G44" s="10"/>
      <c r="H44" s="10"/>
      <c r="I44" s="2"/>
    </row>
    <row r="45" ht="21.75" customHeight="1" spans="1:9" x14ac:dyDescent="0.25">
      <c r="B45" s="28" t="s">
        <v>707</v>
      </c>
      <c r="C45" s="10"/>
      <c r="D45" s="2"/>
      <c r="E45" s="5"/>
      <c r="F45" s="10"/>
      <c r="G45" s="10"/>
      <c r="H45" s="10"/>
      <c r="I45" s="2"/>
    </row>
    <row r="46" ht="21.75" customHeight="1" spans="1:9" x14ac:dyDescent="0.25">
      <c r="B46" s="28" t="s">
        <v>708</v>
      </c>
      <c r="C46" s="10"/>
      <c r="D46" s="2"/>
      <c r="E46" s="5"/>
      <c r="F46" s="10"/>
      <c r="G46" s="10"/>
      <c r="H46" s="10"/>
      <c r="I46" s="2"/>
    </row>
    <row r="47" ht="21.75" customHeight="1" spans="1:9" x14ac:dyDescent="0.25">
      <c r="A47" t="s">
        <v>709</v>
      </c>
      <c r="B47" s="28" t="s">
        <v>710</v>
      </c>
      <c r="C47" s="10"/>
      <c r="D47" s="2"/>
      <c r="E47" s="5"/>
      <c r="F47" s="10"/>
      <c r="G47" s="10"/>
      <c r="H47" s="10"/>
      <c r="I47" s="2"/>
    </row>
    <row r="48" ht="21.75" customHeight="1" spans="1:9" x14ac:dyDescent="0.25">
      <c r="B48" s="27" t="s">
        <v>711</v>
      </c>
      <c r="C48" s="10"/>
      <c r="D48" s="2"/>
      <c r="E48" s="5"/>
      <c r="F48" s="10"/>
      <c r="G48" s="10"/>
      <c r="H48" s="10"/>
      <c r="I48" s="2"/>
    </row>
    <row r="49" ht="21.75" customHeight="1" spans="1:9" x14ac:dyDescent="0.25">
      <c r="B49" s="28" t="s">
        <v>712</v>
      </c>
      <c r="C49" s="10"/>
      <c r="D49" s="2"/>
      <c r="E49" s="5"/>
      <c r="F49" s="10"/>
      <c r="G49" s="10"/>
      <c r="H49" s="10"/>
      <c r="I49" s="2"/>
    </row>
    <row r="50" ht="21.75" customHeight="1" spans="1:9" x14ac:dyDescent="0.25">
      <c r="B50" s="28" t="s">
        <v>713</v>
      </c>
      <c r="C50" s="10"/>
      <c r="D50" s="2"/>
      <c r="E50" s="5"/>
      <c r="F50" s="10"/>
      <c r="G50" s="10"/>
      <c r="H50" s="10"/>
      <c r="I50" s="2"/>
    </row>
    <row r="51" ht="21.75" customHeight="1" spans="1:9" x14ac:dyDescent="0.25">
      <c r="B51" s="28" t="s">
        <v>162</v>
      </c>
      <c r="C51" s="10"/>
      <c r="D51" s="2"/>
      <c r="E51" s="5"/>
      <c r="F51" s="10"/>
      <c r="G51" s="10"/>
      <c r="H51" s="10"/>
      <c r="I51" s="2"/>
    </row>
    <row r="52" ht="21.75" customHeight="1" spans="1:9" x14ac:dyDescent="0.25">
      <c r="B52" s="27" t="s">
        <v>174</v>
      </c>
      <c r="C52" s="10"/>
      <c r="D52" s="2"/>
      <c r="E52" s="5"/>
      <c r="F52" s="10"/>
      <c r="G52" s="10"/>
      <c r="H52" s="10"/>
      <c r="I52" s="2"/>
    </row>
    <row r="53" ht="21.75" customHeight="1" spans="1:9" x14ac:dyDescent="0.25">
      <c r="B53" s="28" t="s">
        <v>158</v>
      </c>
      <c r="C53" s="10"/>
      <c r="D53" s="2"/>
      <c r="E53" s="5"/>
      <c r="F53" s="10"/>
      <c r="G53" s="10"/>
      <c r="H53" s="10"/>
      <c r="I53" s="2"/>
    </row>
    <row r="54" ht="21.75" customHeight="1" spans="1:9" x14ac:dyDescent="0.25">
      <c r="B54" s="28" t="s">
        <v>160</v>
      </c>
      <c r="C54" s="10"/>
      <c r="D54" s="2"/>
      <c r="E54" s="5"/>
      <c r="F54" s="10"/>
      <c r="G54" s="10"/>
      <c r="H54" s="10"/>
      <c r="I54" s="2"/>
    </row>
    <row r="55" ht="21.75" customHeight="1" spans="1:9" x14ac:dyDescent="0.25">
      <c r="B55" s="28" t="s">
        <v>162</v>
      </c>
      <c r="C55" s="10"/>
      <c r="D55" s="2"/>
      <c r="E55" s="5"/>
      <c r="F55" s="10"/>
      <c r="G55" s="10"/>
      <c r="H55" s="10"/>
      <c r="I55" s="2"/>
    </row>
    <row r="56" spans="1:9" x14ac:dyDescent="0.25">
      <c r="E56" s="5"/>
      <c r="F56" s="10"/>
      <c r="G56" s="10"/>
      <c r="H56" s="10"/>
      <c r="I56" s="2"/>
    </row>
    <row r="57" ht="21.75" customHeight="1" spans="1:9" x14ac:dyDescent="0.25">
      <c r="B57" s="30" t="s">
        <v>175</v>
      </c>
      <c r="C57" s="10"/>
      <c r="D57" s="10"/>
      <c r="E57" s="10"/>
      <c r="F57" s="10"/>
      <c r="G57" s="10"/>
      <c r="H57" s="10"/>
      <c r="I57" s="2"/>
    </row>
    <row r="58" ht="13.5" customHeight="1" spans="1:9" x14ac:dyDescent="0.25">
      <c r="B58" s="21" t="s">
        <v>176</v>
      </c>
      <c r="C58" s="20"/>
      <c r="D58" s="20"/>
      <c r="E58" s="20"/>
      <c r="F58" s="20"/>
      <c r="G58" s="20"/>
      <c r="H58" s="20"/>
      <c r="I58" s="20"/>
    </row>
    <row r="59" ht="18" customHeight="1" spans="1:9" x14ac:dyDescent="0.25">
      <c r="B59" s="31" t="s">
        <v>177</v>
      </c>
      <c r="C59" s="10"/>
      <c r="D59" s="10"/>
      <c r="E59" s="10"/>
      <c r="F59" s="10"/>
      <c r="G59" s="10"/>
      <c r="H59" s="10"/>
      <c r="I59" s="2"/>
    </row>
    <row r="60" ht="18" customHeight="1" spans="1:9" x14ac:dyDescent="0.25">
      <c r="B60" s="15" t="s">
        <v>714</v>
      </c>
      <c r="C60" s="10"/>
      <c r="D60" s="2"/>
      <c r="E60" s="32" t="s">
        <v>201</v>
      </c>
      <c r="F60" s="20"/>
      <c r="G60" s="20"/>
      <c r="H60" s="20"/>
      <c r="I60" s="20"/>
    </row>
    <row r="61" ht="18" customHeight="1" spans="1:9" x14ac:dyDescent="0.25">
      <c r="B61" s="15" t="s">
        <v>715</v>
      </c>
      <c r="C61" s="10"/>
      <c r="D61" s="2"/>
      <c r="E61" s="32" t="s">
        <v>202</v>
      </c>
      <c r="F61" s="20"/>
      <c r="G61" s="20"/>
      <c r="H61" s="20"/>
      <c r="I61" s="20"/>
    </row>
    <row r="62" ht="18" customHeight="1" spans="1:9" x14ac:dyDescent="0.25">
      <c r="B62" s="15" t="s">
        <v>716</v>
      </c>
      <c r="C62" s="10"/>
      <c r="D62" s="2"/>
      <c r="E62" s="32" t="s">
        <v>203</v>
      </c>
      <c r="F62" s="20"/>
      <c r="G62" s="20"/>
      <c r="H62" s="20"/>
      <c r="I62" s="20"/>
    </row>
    <row r="63" ht="18" customHeight="1" spans="1:9" x14ac:dyDescent="0.25">
      <c r="B63" s="15" t="s">
        <v>717</v>
      </c>
      <c r="C63" s="10"/>
      <c r="D63" s="2"/>
      <c r="E63" s="32" t="s">
        <v>204</v>
      </c>
      <c r="F63" s="20"/>
      <c r="G63" s="20"/>
      <c r="H63" s="20"/>
      <c r="I63" s="20"/>
    </row>
    <row r="64" ht="18" customHeight="1" spans="1:9" x14ac:dyDescent="0.25">
      <c r="B64" s="15" t="s">
        <v>718</v>
      </c>
      <c r="C64" s="10"/>
      <c r="D64" s="2"/>
      <c r="E64" s="32" t="s">
        <v>205</v>
      </c>
      <c r="F64" s="20"/>
      <c r="G64" s="20"/>
      <c r="H64" s="20"/>
      <c r="I64" s="20"/>
    </row>
    <row r="66" ht="18" customHeight="1" spans="1:9" x14ac:dyDescent="0.25">
      <c r="B66" s="31" t="s">
        <v>188</v>
      </c>
      <c r="C66" s="10"/>
      <c r="D66" s="10"/>
      <c r="E66" s="10"/>
      <c r="F66" s="10"/>
      <c r="G66" s="10"/>
      <c r="H66" s="10"/>
      <c r="I66" s="2"/>
    </row>
    <row r="67" ht="18" customHeight="1" spans="1:9" x14ac:dyDescent="0.25">
      <c r="B67" s="15" t="s">
        <v>719</v>
      </c>
      <c r="C67" s="10"/>
      <c r="D67" s="2"/>
      <c r="E67" s="32" t="s">
        <v>201</v>
      </c>
      <c r="F67" s="20"/>
      <c r="G67" s="20"/>
      <c r="H67" s="20"/>
      <c r="I67" s="20"/>
    </row>
    <row r="68" ht="18" customHeight="1" spans="1:9" x14ac:dyDescent="0.25">
      <c r="B68" s="15" t="s">
        <v>720</v>
      </c>
      <c r="C68" s="10"/>
      <c r="D68" s="2"/>
      <c r="E68" s="32" t="s">
        <v>202</v>
      </c>
      <c r="F68" s="20"/>
      <c r="G68" s="20"/>
      <c r="H68" s="20"/>
      <c r="I68" s="20"/>
    </row>
    <row r="69" ht="18" customHeight="1" spans="1:9" x14ac:dyDescent="0.25">
      <c r="B69" s="15" t="s">
        <v>721</v>
      </c>
      <c r="C69" s="10"/>
      <c r="D69" s="2"/>
      <c r="E69" s="32" t="s">
        <v>203</v>
      </c>
      <c r="F69" s="20"/>
      <c r="G69" s="20"/>
      <c r="H69" s="20"/>
      <c r="I69" s="20"/>
    </row>
    <row r="70" ht="18" customHeight="1" spans="1:9" x14ac:dyDescent="0.25">
      <c r="B70" s="15" t="s">
        <v>722</v>
      </c>
      <c r="C70" s="10"/>
      <c r="D70" s="2"/>
      <c r="E70" s="32" t="s">
        <v>204</v>
      </c>
      <c r="F70" s="20"/>
      <c r="G70" s="20"/>
      <c r="H70" s="20"/>
      <c r="I70" s="20"/>
    </row>
    <row r="71" ht="18" customHeight="1" spans="1:9" x14ac:dyDescent="0.25">
      <c r="B71" s="15" t="s">
        <v>723</v>
      </c>
      <c r="C71" s="10"/>
      <c r="D71" s="2"/>
      <c r="E71" s="32" t="s">
        <v>205</v>
      </c>
      <c r="F71" s="20"/>
      <c r="G71" s="20"/>
      <c r="H71" s="20"/>
      <c r="I71" s="20"/>
    </row>
    <row r="73" ht="18" customHeight="1" spans="1:9" x14ac:dyDescent="0.25">
      <c r="B73" s="31" t="s">
        <v>194</v>
      </c>
      <c r="C73" s="10"/>
      <c r="D73" s="10"/>
      <c r="E73" s="10"/>
      <c r="F73" s="10"/>
      <c r="G73" s="10"/>
      <c r="H73" s="10"/>
      <c r="I73" s="2"/>
    </row>
    <row r="74" ht="18" customHeight="1" spans="1:9" x14ac:dyDescent="0.25">
      <c r="B74" s="15" t="s">
        <v>724</v>
      </c>
      <c r="C74" s="10"/>
      <c r="D74" s="2"/>
      <c r="E74" s="28" t="s">
        <v>201</v>
      </c>
      <c r="F74" s="10"/>
      <c r="G74" s="10"/>
      <c r="H74" s="10"/>
      <c r="I74" s="2"/>
    </row>
    <row r="75" ht="18" customHeight="1" spans="1:9" x14ac:dyDescent="0.25">
      <c r="B75" s="15" t="s">
        <v>725</v>
      </c>
      <c r="C75" s="10"/>
      <c r="D75" s="2"/>
      <c r="E75" s="28" t="s">
        <v>202</v>
      </c>
      <c r="F75" s="10"/>
      <c r="G75" s="10"/>
      <c r="H75" s="10"/>
      <c r="I75" s="2"/>
    </row>
    <row r="76" ht="18" customHeight="1" spans="1:9" x14ac:dyDescent="0.25">
      <c r="B76" s="15" t="s">
        <v>726</v>
      </c>
      <c r="C76" s="10"/>
      <c r="D76" s="2"/>
      <c r="E76" s="28" t="s">
        <v>203</v>
      </c>
      <c r="F76" s="10"/>
      <c r="G76" s="10"/>
      <c r="H76" s="10"/>
      <c r="I76" s="2"/>
    </row>
    <row r="77" ht="18" customHeight="1" spans="1:9" x14ac:dyDescent="0.25">
      <c r="B77" s="15" t="s">
        <v>727</v>
      </c>
      <c r="C77" s="10"/>
      <c r="D77" s="2"/>
      <c r="E77" s="28" t="s">
        <v>204</v>
      </c>
      <c r="F77" s="10"/>
      <c r="G77" s="10"/>
      <c r="H77" s="10"/>
      <c r="I77" s="2"/>
    </row>
    <row r="78" ht="18" customHeight="1" spans="1:9" x14ac:dyDescent="0.25">
      <c r="B78" s="15" t="s">
        <v>728</v>
      </c>
      <c r="C78" s="10"/>
      <c r="D78" s="2"/>
      <c r="E78" s="28" t="s">
        <v>205</v>
      </c>
      <c r="F78" s="10"/>
      <c r="G78" s="10"/>
      <c r="H78" s="10"/>
      <c r="I78" s="2"/>
    </row>
    <row r="80" ht="18" customHeight="1" spans="1:9" x14ac:dyDescent="0.25">
      <c r="B80" s="31" t="s">
        <v>200</v>
      </c>
      <c r="C80" s="10"/>
      <c r="D80" s="10"/>
      <c r="E80" s="10"/>
      <c r="F80" s="10"/>
      <c r="G80" s="10"/>
      <c r="H80" s="10"/>
      <c r="I80" s="2"/>
    </row>
    <row r="81" ht="18" customHeight="1" spans="1:9" x14ac:dyDescent="0.25">
      <c r="B81" s="15" t="s">
        <v>178</v>
      </c>
      <c r="C81" s="10"/>
      <c r="D81" s="2"/>
      <c r="E81" s="28" t="s">
        <v>201</v>
      </c>
      <c r="F81" s="10"/>
      <c r="G81" s="10"/>
      <c r="H81" s="10"/>
      <c r="I81" s="2"/>
    </row>
    <row r="82" ht="18" customHeight="1" spans="1:9" x14ac:dyDescent="0.25">
      <c r="B82" s="15" t="s">
        <v>180</v>
      </c>
      <c r="C82" s="10"/>
      <c r="D82" s="2"/>
      <c r="E82" s="28" t="s">
        <v>202</v>
      </c>
      <c r="F82" s="10"/>
      <c r="G82" s="10"/>
      <c r="H82" s="10"/>
      <c r="I82" s="2"/>
    </row>
    <row r="83" ht="18" customHeight="1" spans="1:9" x14ac:dyDescent="0.25">
      <c r="B83" s="15" t="s">
        <v>182</v>
      </c>
      <c r="C83" s="10"/>
      <c r="D83" s="2"/>
      <c r="E83" s="28" t="s">
        <v>203</v>
      </c>
      <c r="F83" s="10"/>
      <c r="G83" s="10"/>
      <c r="H83" s="10"/>
      <c r="I83" s="2"/>
    </row>
    <row r="84" ht="18" customHeight="1" spans="1:9" x14ac:dyDescent="0.25">
      <c r="B84" s="15" t="s">
        <v>184</v>
      </c>
      <c r="C84" s="10"/>
      <c r="D84" s="2"/>
      <c r="E84" s="28" t="s">
        <v>204</v>
      </c>
      <c r="F84" s="10"/>
      <c r="G84" s="10"/>
      <c r="H84" s="10"/>
      <c r="I84" s="2"/>
    </row>
    <row r="85" ht="18" customHeight="1" spans="1:9" x14ac:dyDescent="0.25">
      <c r="B85" s="15" t="s">
        <v>186</v>
      </c>
      <c r="C85" s="10"/>
      <c r="D85" s="2"/>
      <c r="E85" s="28" t="s">
        <v>205</v>
      </c>
      <c r="F85" s="10"/>
      <c r="G85" s="10"/>
      <c r="H85" s="10"/>
      <c r="I85" s="2"/>
    </row>
    <row r="87" ht="18" customHeight="1" spans="1:9" x14ac:dyDescent="0.25">
      <c r="B87" s="31" t="s">
        <v>206</v>
      </c>
      <c r="C87" s="10"/>
      <c r="D87" s="10"/>
      <c r="E87" s="10"/>
      <c r="F87" s="10"/>
      <c r="G87" s="10"/>
      <c r="H87" s="10"/>
      <c r="I87" s="2"/>
    </row>
    <row r="88" ht="18" customHeight="1" spans="1:9" x14ac:dyDescent="0.25">
      <c r="B88" s="15" t="s">
        <v>178</v>
      </c>
      <c r="C88" s="10"/>
      <c r="D88" s="2"/>
      <c r="E88" s="28" t="s">
        <v>201</v>
      </c>
      <c r="F88" s="10"/>
      <c r="G88" s="10"/>
      <c r="H88" s="10"/>
      <c r="I88" s="2"/>
    </row>
    <row r="89" ht="18" customHeight="1" spans="1:9" x14ac:dyDescent="0.25">
      <c r="B89" s="15" t="s">
        <v>180</v>
      </c>
      <c r="C89" s="10"/>
      <c r="D89" s="2"/>
      <c r="E89" s="28" t="s">
        <v>202</v>
      </c>
      <c r="F89" s="10"/>
      <c r="G89" s="10"/>
      <c r="H89" s="10"/>
      <c r="I89" s="2"/>
    </row>
    <row r="90" ht="18" customHeight="1" spans="1:9" x14ac:dyDescent="0.25">
      <c r="B90" s="15" t="s">
        <v>182</v>
      </c>
      <c r="C90" s="10"/>
      <c r="D90" s="2"/>
      <c r="E90" s="28" t="s">
        <v>203</v>
      </c>
      <c r="F90" s="10"/>
      <c r="G90" s="10"/>
      <c r="H90" s="10"/>
      <c r="I90" s="2"/>
    </row>
    <row r="91" ht="18" customHeight="1" spans="1:9" x14ac:dyDescent="0.25">
      <c r="B91" s="15" t="s">
        <v>184</v>
      </c>
      <c r="C91" s="10"/>
      <c r="D91" s="2"/>
      <c r="E91" s="28" t="s">
        <v>204</v>
      </c>
      <c r="F91" s="10"/>
      <c r="G91" s="10"/>
      <c r="H91" s="10"/>
      <c r="I91" s="2"/>
    </row>
    <row r="92" ht="18" customHeight="1" spans="1:9" x14ac:dyDescent="0.25">
      <c r="B92" s="15" t="s">
        <v>186</v>
      </c>
      <c r="C92" s="10"/>
      <c r="D92" s="2"/>
      <c r="E92" s="28" t="s">
        <v>205</v>
      </c>
      <c r="F92" s="10"/>
      <c r="G92" s="10"/>
      <c r="H92" s="10"/>
      <c r="I92" s="2"/>
    </row>
    <row r="94" ht="15.75" customHeight="1" spans="1:9" x14ac:dyDescent="0.25">
      <c r="B94" s="34" t="s">
        <v>729</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4"/>
  <sheetViews>
    <sheetView workbookViewId="0" showGridLines="0" zoomScale="100" zoomScaleNormal="100">
      <selection activeCell="E71" sqref="E71"/>
    </sheetView>
  </sheetViews>
  <sheetFormatPr defaultRowHeight="14.4" outlineLevelRow="0" outlineLevelCol="0" x14ac:dyDescent="0.3" defaultColWidth="8.5546875" customHeight="1"/>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ht="13.5" customHeight="1" x14ac:dyDescent="0.25"/>
    <row r="2" ht="33.75" customHeight="1" spans="1:9" x14ac:dyDescent="0.25">
      <c r="B2" s="18" t="s">
        <v>79</v>
      </c>
      <c r="C2" s="10"/>
      <c r="D2" s="10"/>
      <c r="E2" s="10"/>
      <c r="F2" s="10"/>
      <c r="G2" s="10"/>
      <c r="H2" s="10"/>
      <c r="I2" s="2"/>
    </row>
    <row r="3" ht="15.75" customHeight="1" spans="1:9" x14ac:dyDescent="0.25">
      <c r="B3" s="19" t="s">
        <v>80</v>
      </c>
      <c r="C3" s="20"/>
      <c r="D3" s="20"/>
      <c r="E3" s="20"/>
      <c r="F3" s="20"/>
      <c r="G3" s="20"/>
      <c r="H3" s="20"/>
      <c r="I3" s="20"/>
    </row>
    <row r="5" ht="21.75" customHeight="1" spans="1:9" x14ac:dyDescent="0.25">
      <c r="B5" s="6" t="s">
        <v>81</v>
      </c>
      <c r="C5" s="10"/>
      <c r="D5" s="10"/>
      <c r="E5" s="10"/>
      <c r="F5" s="10"/>
      <c r="G5" s="10"/>
      <c r="H5" s="10"/>
      <c r="I5" s="2"/>
    </row>
    <row r="6" ht="13.5" customHeight="1" spans="1:9" x14ac:dyDescent="0.25">
      <c r="B6" s="21" t="s">
        <v>82</v>
      </c>
      <c r="C6" s="20"/>
      <c r="D6" s="20"/>
      <c r="E6" s="20"/>
      <c r="F6" s="20"/>
      <c r="G6" s="20"/>
      <c r="H6" s="20"/>
      <c r="I6" s="20"/>
    </row>
    <row r="7" ht="19.5" customHeight="1" spans="1:9" x14ac:dyDescent="0.25">
      <c r="B7" s="12" t="s">
        <v>83</v>
      </c>
      <c r="C7" s="12" t="s">
        <v>84</v>
      </c>
      <c r="D7" s="12" t="s">
        <v>85</v>
      </c>
      <c r="E7" s="12" t="s">
        <v>86</v>
      </c>
      <c r="F7" s="12" t="s">
        <v>87</v>
      </c>
      <c r="G7" s="12" t="s">
        <v>88</v>
      </c>
      <c r="H7" s="12" t="s">
        <v>89</v>
      </c>
      <c r="I7" s="12" t="s">
        <v>90</v>
      </c>
    </row>
    <row r="8" ht="18" customHeight="1" spans="1:9" x14ac:dyDescent="0.25">
      <c r="B8" s="5" t="s">
        <v>730</v>
      </c>
      <c r="C8" s="5" t="s">
        <v>52</v>
      </c>
      <c r="D8" s="5" t="s">
        <v>92</v>
      </c>
      <c r="E8" s="5" t="s">
        <v>731</v>
      </c>
      <c r="F8" s="5" t="s">
        <v>732</v>
      </c>
      <c r="G8" s="5" t="s">
        <v>95</v>
      </c>
      <c r="H8" s="5" t="s">
        <v>733</v>
      </c>
      <c r="I8" s="5" t="s">
        <v>734</v>
      </c>
    </row>
    <row r="9" ht="18" customHeight="1" spans="1:9" x14ac:dyDescent="0.25">
      <c r="B9" s="5" t="s">
        <v>730</v>
      </c>
      <c r="C9" s="5" t="s">
        <v>57</v>
      </c>
      <c r="D9" s="5" t="s">
        <v>92</v>
      </c>
      <c r="E9" s="5" t="s">
        <v>735</v>
      </c>
      <c r="F9" s="5" t="s">
        <v>353</v>
      </c>
      <c r="G9" s="5" t="s">
        <v>100</v>
      </c>
      <c r="H9" s="5" t="s">
        <v>736</v>
      </c>
      <c r="I9" s="5" t="s">
        <v>737</v>
      </c>
    </row>
    <row r="10" ht="18" customHeight="1" spans="1:9" x14ac:dyDescent="0.25">
      <c r="B10" s="5" t="s">
        <v>730</v>
      </c>
      <c r="C10" s="5" t="s">
        <v>62</v>
      </c>
      <c r="D10" s="5" t="s">
        <v>92</v>
      </c>
      <c r="E10" s="5" t="s">
        <v>738</v>
      </c>
      <c r="F10" s="5" t="s">
        <v>739</v>
      </c>
      <c r="G10" s="5" t="s">
        <v>100</v>
      </c>
      <c r="H10" s="5" t="s">
        <v>740</v>
      </c>
      <c r="I10" s="5" t="s">
        <v>741</v>
      </c>
    </row>
    <row r="11" ht="18" customHeight="1" spans="2:9" x14ac:dyDescent="0.25">
      <c r="B11" s="5"/>
      <c r="C11" s="5"/>
      <c r="D11" s="5"/>
      <c r="E11" s="5"/>
      <c r="F11" s="5"/>
      <c r="G11" s="5"/>
      <c r="H11" s="5"/>
      <c r="I11" s="5"/>
    </row>
    <row r="12" ht="18" customHeight="1" spans="2:9" x14ac:dyDescent="0.25">
      <c r="B12" s="5"/>
      <c r="C12" s="5"/>
      <c r="D12" s="5"/>
      <c r="E12" s="5"/>
      <c r="F12" s="5"/>
      <c r="G12" s="5"/>
      <c r="H12" s="5"/>
      <c r="I12" s="5"/>
    </row>
    <row r="13" ht="18" customHeight="1" spans="2:9" x14ac:dyDescent="0.25">
      <c r="B13" s="5"/>
      <c r="C13" s="5"/>
      <c r="D13" s="5"/>
      <c r="E13" s="5"/>
      <c r="F13" s="5"/>
      <c r="G13" s="5"/>
      <c r="H13" s="5"/>
      <c r="I13" s="5"/>
    </row>
    <row r="14" ht="18" customHeight="1" spans="2:9" x14ac:dyDescent="0.25">
      <c r="B14" s="5"/>
      <c r="C14" s="5"/>
      <c r="D14" s="5"/>
      <c r="E14" s="5"/>
      <c r="F14" s="5"/>
      <c r="G14" s="5"/>
      <c r="H14" s="5"/>
      <c r="I14" s="5"/>
    </row>
    <row r="15" ht="18" customHeight="1" spans="2:9" x14ac:dyDescent="0.25">
      <c r="B15" s="5"/>
      <c r="C15" s="5"/>
      <c r="D15" s="5"/>
      <c r="E15" s="5"/>
      <c r="F15" s="5"/>
      <c r="G15" s="5"/>
      <c r="H15" s="5"/>
      <c r="I15" s="5"/>
    </row>
    <row r="17" ht="21.75" customHeight="1" spans="1:9" x14ac:dyDescent="0.25">
      <c r="B17" s="8" t="s">
        <v>127</v>
      </c>
      <c r="C17" s="10"/>
      <c r="D17" s="10"/>
      <c r="E17" s="10"/>
      <c r="F17" s="10"/>
      <c r="G17" s="10"/>
      <c r="H17" s="10"/>
      <c r="I17" s="2"/>
    </row>
    <row r="18" ht="13.5" customHeight="1" spans="1:9" x14ac:dyDescent="0.25">
      <c r="B18" s="21" t="s">
        <v>31</v>
      </c>
      <c r="C18" s="20"/>
      <c r="D18" s="20"/>
      <c r="E18" s="20"/>
      <c r="F18" s="20"/>
      <c r="G18" s="20"/>
      <c r="H18" s="20"/>
      <c r="I18" s="20"/>
    </row>
    <row r="19" ht="19.5" customHeight="1" spans="1:9" x14ac:dyDescent="0.25">
      <c r="B19" s="24" t="s">
        <v>128</v>
      </c>
      <c r="C19" s="24" t="s">
        <v>84</v>
      </c>
      <c r="D19" s="24" t="s">
        <v>129</v>
      </c>
      <c r="E19" s="10"/>
      <c r="F19" s="2"/>
      <c r="G19" s="24" t="s">
        <v>130</v>
      </c>
      <c r="H19" s="2"/>
      <c r="I19" s="24" t="s">
        <v>51</v>
      </c>
    </row>
    <row r="20" ht="15.75" customHeight="1" spans="1:9" x14ac:dyDescent="0.25">
      <c r="B20" s="25" t="s">
        <v>131</v>
      </c>
      <c r="C20" s="10"/>
      <c r="D20" s="10"/>
      <c r="E20" s="10"/>
      <c r="F20" s="10"/>
      <c r="G20" s="10"/>
      <c r="H20" s="10"/>
      <c r="I20" s="2"/>
    </row>
    <row r="21" ht="18" customHeight="1" spans="1:9" x14ac:dyDescent="0.25">
      <c r="B21" s="5"/>
      <c r="C21" s="5" t="s">
        <v>52</v>
      </c>
      <c r="D21" s="5"/>
      <c r="E21" s="5" t="s">
        <v>742</v>
      </c>
      <c r="F21" s="5"/>
      <c r="G21" s="5" t="s">
        <v>732</v>
      </c>
      <c r="H21" s="5"/>
      <c r="I21" s="5" t="s">
        <v>743</v>
      </c>
    </row>
    <row r="22" ht="18" customHeight="1" spans="1:9" x14ac:dyDescent="0.25">
      <c r="B22" s="5"/>
      <c r="C22" s="5" t="s">
        <v>57</v>
      </c>
      <c r="D22" s="5"/>
      <c r="E22" s="5" t="s">
        <v>744</v>
      </c>
      <c r="F22" s="5"/>
      <c r="G22" s="5" t="s">
        <v>353</v>
      </c>
      <c r="H22" s="5"/>
      <c r="I22" s="5" t="s">
        <v>745</v>
      </c>
    </row>
    <row r="23" ht="18" customHeight="1" spans="1:9" x14ac:dyDescent="0.25">
      <c r="B23" s="5"/>
      <c r="C23" s="5" t="s">
        <v>62</v>
      </c>
      <c r="D23" s="5"/>
      <c r="E23" s="5" t="s">
        <v>746</v>
      </c>
      <c r="F23" s="5"/>
      <c r="G23" s="5" t="s">
        <v>739</v>
      </c>
      <c r="H23" s="5"/>
      <c r="I23" s="5" t="s">
        <v>747</v>
      </c>
    </row>
    <row r="24" ht="15.75" customHeight="1" spans="1:9" x14ac:dyDescent="0.25">
      <c r="B24" s="25" t="s">
        <v>139</v>
      </c>
      <c r="C24" s="10"/>
      <c r="D24" s="10"/>
      <c r="E24" s="10"/>
      <c r="F24" s="10"/>
      <c r="G24" s="10"/>
      <c r="H24" s="10"/>
      <c r="I24" s="2"/>
    </row>
    <row r="25" ht="18" customHeight="1" spans="1:9" x14ac:dyDescent="0.25">
      <c r="B25" s="5"/>
      <c r="C25" s="5" t="s">
        <v>52</v>
      </c>
      <c r="D25" s="5"/>
      <c r="E25" s="5" t="s">
        <v>748</v>
      </c>
      <c r="F25" s="5"/>
      <c r="G25" s="5" t="s">
        <v>210</v>
      </c>
      <c r="H25" s="5"/>
      <c r="I25" s="5" t="s">
        <v>749</v>
      </c>
    </row>
    <row r="26" ht="18" customHeight="1" spans="1:9" x14ac:dyDescent="0.25">
      <c r="B26" s="5"/>
      <c r="C26" s="5" t="s">
        <v>57</v>
      </c>
      <c r="D26" s="5"/>
      <c r="E26" s="5" t="s">
        <v>750</v>
      </c>
      <c r="F26" s="5"/>
      <c r="G26" s="5" t="s">
        <v>210</v>
      </c>
      <c r="H26" s="5"/>
      <c r="I26" s="5" t="s">
        <v>751</v>
      </c>
    </row>
    <row r="27" ht="18" customHeight="1" spans="1:9" x14ac:dyDescent="0.25">
      <c r="B27" s="5"/>
      <c r="C27" s="5" t="s">
        <v>62</v>
      </c>
      <c r="D27" s="5"/>
      <c r="E27" s="5" t="s">
        <v>752</v>
      </c>
      <c r="F27" s="5"/>
      <c r="G27" s="5" t="s">
        <v>634</v>
      </c>
      <c r="H27" s="5"/>
      <c r="I27" s="5" t="s">
        <v>753</v>
      </c>
    </row>
    <row r="28" ht="15.75" customHeight="1" spans="1:9" x14ac:dyDescent="0.25">
      <c r="B28" s="25" t="s">
        <v>148</v>
      </c>
      <c r="C28" s="10"/>
      <c r="D28" s="10"/>
      <c r="E28" s="10"/>
      <c r="F28" s="10"/>
      <c r="G28" s="10"/>
      <c r="H28" s="10"/>
      <c r="I28" s="2"/>
    </row>
    <row r="29" ht="18" customHeight="1" spans="1:9" x14ac:dyDescent="0.25">
      <c r="B29" s="5"/>
      <c r="C29" s="5" t="s">
        <v>52</v>
      </c>
      <c r="D29" s="5"/>
      <c r="E29" s="5" t="s">
        <v>754</v>
      </c>
      <c r="F29" s="5"/>
      <c r="G29" s="5" t="s">
        <v>739</v>
      </c>
      <c r="H29" s="5"/>
      <c r="I29" s="5" t="s">
        <v>755</v>
      </c>
    </row>
    <row r="30" ht="18" customHeight="1" spans="1:9" x14ac:dyDescent="0.25">
      <c r="B30" s="5"/>
      <c r="C30" s="5" t="s">
        <v>57</v>
      </c>
      <c r="D30" s="5"/>
      <c r="E30" s="5" t="s">
        <v>756</v>
      </c>
      <c r="F30" s="5"/>
      <c r="G30" s="5" t="s">
        <v>757</v>
      </c>
      <c r="H30" s="5"/>
      <c r="I30" s="5" t="s">
        <v>758</v>
      </c>
    </row>
    <row r="31" ht="18" customHeight="1" spans="1:9" x14ac:dyDescent="0.25">
      <c r="B31" s="5"/>
      <c r="C31" s="5" t="s">
        <v>62</v>
      </c>
      <c r="D31" s="5"/>
      <c r="E31" s="5" t="s">
        <v>759</v>
      </c>
      <c r="F31" s="5"/>
      <c r="G31" s="5" t="s">
        <v>739</v>
      </c>
      <c r="H31" s="5"/>
      <c r="I31" s="5" t="s">
        <v>760</v>
      </c>
    </row>
    <row r="32" ht="15.75" customHeight="1" spans="1:9" x14ac:dyDescent="0.25">
      <c r="B32" s="25" t="s">
        <v>149</v>
      </c>
      <c r="C32" s="10"/>
      <c r="D32" s="10"/>
      <c r="E32" s="10"/>
      <c r="F32" s="10"/>
      <c r="G32" s="10"/>
      <c r="H32" s="10"/>
      <c r="I32" s="2"/>
    </row>
    <row r="33" ht="18" customHeight="1" spans="2:9" x14ac:dyDescent="0.25">
      <c r="B33" s="5"/>
      <c r="C33" s="5"/>
      <c r="D33" s="5"/>
      <c r="E33" s="5"/>
      <c r="F33" s="5"/>
      <c r="G33" s="5"/>
      <c r="H33" s="5"/>
      <c r="I33" s="5"/>
    </row>
    <row r="34" ht="18" customHeight="1" spans="2:9" x14ac:dyDescent="0.25">
      <c r="B34" s="5"/>
      <c r="C34" s="5"/>
      <c r="D34" s="5"/>
      <c r="E34" s="5"/>
      <c r="F34" s="5"/>
      <c r="G34" s="5"/>
      <c r="H34" s="5"/>
      <c r="I34" s="5"/>
    </row>
    <row r="35" ht="18" customHeight="1" spans="2:9" x14ac:dyDescent="0.25">
      <c r="B35" s="5"/>
      <c r="C35" s="5"/>
      <c r="D35" s="5"/>
      <c r="E35" s="5"/>
      <c r="F35" s="5"/>
      <c r="G35" s="5"/>
      <c r="H35" s="5"/>
      <c r="I35" s="5"/>
    </row>
    <row r="37" ht="21.75" customHeight="1" spans="1:9" x14ac:dyDescent="0.25">
      <c r="B37" s="7" t="s">
        <v>150</v>
      </c>
      <c r="C37" s="10"/>
      <c r="D37" s="10"/>
      <c r="E37" s="10"/>
      <c r="F37" s="10"/>
      <c r="G37" s="10"/>
      <c r="H37" s="10"/>
      <c r="I37" s="2"/>
    </row>
    <row r="38" ht="13.5" customHeight="1" spans="1:9" x14ac:dyDescent="0.25">
      <c r="B38" s="21" t="s">
        <v>151</v>
      </c>
      <c r="C38" s="20"/>
      <c r="D38" s="20"/>
      <c r="E38" s="20"/>
      <c r="F38" s="20"/>
      <c r="G38" s="20"/>
      <c r="H38" s="20"/>
      <c r="I38" s="20"/>
    </row>
    <row r="39" ht="19.5" customHeight="1" spans="1:9" x14ac:dyDescent="0.25">
      <c r="A39" t="s">
        <v>248</v>
      </c>
      <c r="B39" s="26" t="s">
        <v>152</v>
      </c>
      <c r="C39" s="26" t="s">
        <v>153</v>
      </c>
      <c r="D39" s="26" t="s">
        <v>761</v>
      </c>
      <c r="E39" s="26" t="s">
        <v>155</v>
      </c>
      <c r="F39" s="10"/>
      <c r="G39" s="10"/>
      <c r="H39" s="10"/>
      <c r="I39" s="2"/>
    </row>
    <row r="40" ht="21.75" customHeight="1" spans="1:9" x14ac:dyDescent="0.25">
      <c r="B40" s="27" t="s">
        <v>762</v>
      </c>
      <c r="C40" s="10"/>
      <c r="D40" s="2"/>
      <c r="E40" s="5"/>
      <c r="F40" s="10"/>
      <c r="G40" s="10"/>
      <c r="H40" s="10"/>
      <c r="I40" s="2"/>
    </row>
    <row r="41" ht="21.75" customHeight="1" spans="1:9" x14ac:dyDescent="0.25">
      <c r="B41" s="28" t="s">
        <v>763</v>
      </c>
      <c r="C41" s="10"/>
      <c r="D41" s="2"/>
      <c r="E41" s="5"/>
      <c r="F41" s="10"/>
      <c r="G41" s="10"/>
      <c r="H41" s="10"/>
      <c r="I41" s="2"/>
    </row>
    <row r="42" ht="21.75" customHeight="1" spans="1:9" x14ac:dyDescent="0.25">
      <c r="B42" s="28" t="s">
        <v>764</v>
      </c>
      <c r="C42" s="10"/>
      <c r="D42" s="2"/>
      <c r="E42" s="5"/>
      <c r="F42" s="10"/>
      <c r="G42" s="10"/>
      <c r="H42" s="10"/>
      <c r="I42" s="2"/>
    </row>
    <row r="43" ht="21.75" customHeight="1" spans="1:9" x14ac:dyDescent="0.25">
      <c r="A43" t="s">
        <v>704</v>
      </c>
      <c r="B43" s="28" t="s">
        <v>765</v>
      </c>
      <c r="C43" s="10"/>
      <c r="D43" s="2"/>
      <c r="E43" s="5"/>
      <c r="F43" s="10"/>
      <c r="G43" s="10"/>
      <c r="H43" s="10"/>
      <c r="I43" s="2"/>
    </row>
    <row r="44" ht="21.75" customHeight="1" spans="1:9" x14ac:dyDescent="0.25">
      <c r="B44" s="27" t="s">
        <v>766</v>
      </c>
      <c r="C44" s="10"/>
      <c r="D44" s="2"/>
      <c r="E44" s="5"/>
      <c r="F44" s="10"/>
      <c r="G44" s="10"/>
      <c r="H44" s="10"/>
      <c r="I44" s="2"/>
    </row>
    <row r="45" ht="21.75" customHeight="1" spans="1:9" x14ac:dyDescent="0.25">
      <c r="B45" s="28" t="s">
        <v>767</v>
      </c>
      <c r="C45" s="10"/>
      <c r="D45" s="2"/>
      <c r="E45" s="5"/>
      <c r="F45" s="10"/>
      <c r="G45" s="10"/>
      <c r="H45" s="10"/>
      <c r="I45" s="2"/>
    </row>
    <row r="46" ht="21.75" customHeight="1" spans="1:9" x14ac:dyDescent="0.25">
      <c r="B46" s="28" t="s">
        <v>768</v>
      </c>
      <c r="C46" s="10"/>
      <c r="D46" s="2"/>
      <c r="E46" s="5"/>
      <c r="F46" s="10"/>
      <c r="G46" s="10"/>
      <c r="H46" s="10"/>
      <c r="I46" s="2"/>
    </row>
    <row r="47" ht="21.75" customHeight="1" spans="1:9" x14ac:dyDescent="0.25">
      <c r="A47" t="s">
        <v>709</v>
      </c>
      <c r="B47" s="28" t="s">
        <v>769</v>
      </c>
      <c r="C47" s="10"/>
      <c r="D47" s="2"/>
      <c r="E47" s="5"/>
      <c r="F47" s="10"/>
      <c r="G47" s="10"/>
      <c r="H47" s="10"/>
      <c r="I47" s="2"/>
    </row>
    <row r="48" ht="21.75" customHeight="1" spans="1:9" x14ac:dyDescent="0.25">
      <c r="B48" s="27" t="s">
        <v>770</v>
      </c>
      <c r="C48" s="10"/>
      <c r="D48" s="2"/>
      <c r="E48" s="5"/>
      <c r="F48" s="10"/>
      <c r="G48" s="10"/>
      <c r="H48" s="10"/>
      <c r="I48" s="2"/>
    </row>
    <row r="49" ht="21.75" customHeight="1" spans="1:9" x14ac:dyDescent="0.25">
      <c r="B49" s="28" t="s">
        <v>771</v>
      </c>
      <c r="C49" s="10"/>
      <c r="D49" s="2"/>
      <c r="E49" s="5"/>
      <c r="F49" s="10"/>
      <c r="G49" s="10"/>
      <c r="H49" s="10"/>
      <c r="I49" s="2"/>
    </row>
    <row r="50" ht="21.75" customHeight="1" spans="1:9" x14ac:dyDescent="0.25">
      <c r="B50" s="28" t="s">
        <v>772</v>
      </c>
      <c r="C50" s="10"/>
      <c r="D50" s="2"/>
      <c r="E50" s="5"/>
      <c r="F50" s="10"/>
      <c r="G50" s="10"/>
      <c r="H50" s="10"/>
      <c r="I50" s="2"/>
    </row>
    <row r="51" ht="21.75" customHeight="1" spans="1:9" x14ac:dyDescent="0.25">
      <c r="B51" s="28" t="s">
        <v>162</v>
      </c>
      <c r="C51" s="10"/>
      <c r="D51" s="2"/>
      <c r="E51" s="5"/>
      <c r="F51" s="10"/>
      <c r="G51" s="10"/>
      <c r="H51" s="10"/>
      <c r="I51" s="2"/>
    </row>
    <row r="52" ht="21.75" customHeight="1" spans="1:9" x14ac:dyDescent="0.25">
      <c r="B52" s="27" t="s">
        <v>174</v>
      </c>
      <c r="C52" s="10"/>
      <c r="D52" s="2"/>
      <c r="E52" s="5"/>
      <c r="F52" s="10"/>
      <c r="G52" s="10"/>
      <c r="H52" s="10"/>
      <c r="I52" s="2"/>
    </row>
    <row r="53" ht="21.75" customHeight="1" spans="1:9" x14ac:dyDescent="0.25">
      <c r="B53" s="28" t="s">
        <v>158</v>
      </c>
      <c r="C53" s="10"/>
      <c r="D53" s="2"/>
      <c r="E53" s="5"/>
      <c r="F53" s="10"/>
      <c r="G53" s="10"/>
      <c r="H53" s="10"/>
      <c r="I53" s="2"/>
    </row>
    <row r="54" ht="21.75" customHeight="1" spans="1:9" x14ac:dyDescent="0.25">
      <c r="B54" s="28" t="s">
        <v>160</v>
      </c>
      <c r="C54" s="10"/>
      <c r="D54" s="2"/>
      <c r="E54" s="5"/>
      <c r="F54" s="10"/>
      <c r="G54" s="10"/>
      <c r="H54" s="10"/>
      <c r="I54" s="2"/>
    </row>
    <row r="55" ht="21.75" customHeight="1" spans="1:9" x14ac:dyDescent="0.25">
      <c r="B55" s="28" t="s">
        <v>162</v>
      </c>
      <c r="C55" s="10"/>
      <c r="D55" s="2"/>
      <c r="E55" s="5"/>
      <c r="F55" s="10"/>
      <c r="G55" s="10"/>
      <c r="H55" s="10"/>
      <c r="I55" s="2"/>
    </row>
    <row r="56" spans="1:9" x14ac:dyDescent="0.25">
      <c r="E56" s="5"/>
      <c r="F56" s="10"/>
      <c r="G56" s="10"/>
      <c r="H56" s="10"/>
      <c r="I56" s="2"/>
    </row>
    <row r="57" ht="21.75" customHeight="1" spans="1:9" x14ac:dyDescent="0.25">
      <c r="B57" s="30" t="s">
        <v>175</v>
      </c>
      <c r="C57" s="10"/>
      <c r="D57" s="10"/>
      <c r="E57" s="10"/>
      <c r="F57" s="10"/>
      <c r="G57" s="10"/>
      <c r="H57" s="10"/>
      <c r="I57" s="2"/>
    </row>
    <row r="58" ht="13.5" customHeight="1" spans="1:9" x14ac:dyDescent="0.25">
      <c r="B58" s="21" t="s">
        <v>176</v>
      </c>
      <c r="C58" s="20"/>
      <c r="D58" s="20"/>
      <c r="E58" s="20"/>
      <c r="F58" s="20"/>
      <c r="G58" s="20"/>
      <c r="H58" s="20"/>
      <c r="I58" s="20"/>
    </row>
    <row r="59" ht="18" customHeight="1" spans="1:9" x14ac:dyDescent="0.25">
      <c r="B59" s="31" t="s">
        <v>177</v>
      </c>
      <c r="C59" s="10"/>
      <c r="D59" s="10"/>
      <c r="E59" s="10"/>
      <c r="F59" s="10"/>
      <c r="G59" s="10"/>
      <c r="H59" s="10"/>
      <c r="I59" s="2"/>
    </row>
    <row r="60" ht="18" customHeight="1" spans="1:9" x14ac:dyDescent="0.25">
      <c r="B60" s="15" t="s">
        <v>773</v>
      </c>
      <c r="C60" s="10"/>
      <c r="D60" s="2"/>
      <c r="E60" s="32" t="s">
        <v>201</v>
      </c>
      <c r="F60" s="20"/>
      <c r="G60" s="20"/>
      <c r="H60" s="20"/>
      <c r="I60" s="20"/>
    </row>
    <row r="61" ht="18" customHeight="1" spans="1:9" x14ac:dyDescent="0.25">
      <c r="B61" s="15" t="s">
        <v>774</v>
      </c>
      <c r="C61" s="10"/>
      <c r="D61" s="2"/>
      <c r="E61" s="32" t="s">
        <v>202</v>
      </c>
      <c r="F61" s="20"/>
      <c r="G61" s="20"/>
      <c r="H61" s="20"/>
      <c r="I61" s="20"/>
    </row>
    <row r="62" ht="18" customHeight="1" spans="1:9" x14ac:dyDescent="0.25">
      <c r="B62" s="15" t="s">
        <v>775</v>
      </c>
      <c r="C62" s="10"/>
      <c r="D62" s="2"/>
      <c r="E62" s="32" t="s">
        <v>203</v>
      </c>
      <c r="F62" s="20"/>
      <c r="G62" s="20"/>
      <c r="H62" s="20"/>
      <c r="I62" s="20"/>
    </row>
    <row r="63" ht="18" customHeight="1" spans="1:9" x14ac:dyDescent="0.25">
      <c r="B63" s="15" t="s">
        <v>776</v>
      </c>
      <c r="C63" s="10"/>
      <c r="D63" s="2"/>
      <c r="E63" s="32" t="s">
        <v>204</v>
      </c>
      <c r="F63" s="20"/>
      <c r="G63" s="20"/>
      <c r="H63" s="20"/>
      <c r="I63" s="20"/>
    </row>
    <row r="64" ht="18" customHeight="1" spans="1:9" x14ac:dyDescent="0.25">
      <c r="B64" s="15" t="s">
        <v>777</v>
      </c>
      <c r="C64" s="10"/>
      <c r="D64" s="2"/>
      <c r="E64" s="32" t="s">
        <v>205</v>
      </c>
      <c r="F64" s="20"/>
      <c r="G64" s="20"/>
      <c r="H64" s="20"/>
      <c r="I64" s="20"/>
    </row>
    <row r="66" ht="18" customHeight="1" spans="1:9" x14ac:dyDescent="0.25">
      <c r="B66" s="31" t="s">
        <v>188</v>
      </c>
      <c r="C66" s="10"/>
      <c r="D66" s="10"/>
      <c r="E66" s="10"/>
      <c r="F66" s="10"/>
      <c r="G66" s="10"/>
      <c r="H66" s="10"/>
      <c r="I66" s="2"/>
    </row>
    <row r="67" ht="18" customHeight="1" spans="1:9" x14ac:dyDescent="0.25">
      <c r="B67" s="15" t="s">
        <v>778</v>
      </c>
      <c r="C67" s="10"/>
      <c r="D67" s="2"/>
      <c r="E67" s="32" t="s">
        <v>201</v>
      </c>
      <c r="F67" s="20"/>
      <c r="G67" s="20"/>
      <c r="H67" s="20"/>
      <c r="I67" s="20"/>
    </row>
    <row r="68" ht="18" customHeight="1" spans="1:9" x14ac:dyDescent="0.25">
      <c r="B68" s="15" t="s">
        <v>779</v>
      </c>
      <c r="C68" s="10"/>
      <c r="D68" s="2"/>
      <c r="E68" s="32" t="s">
        <v>202</v>
      </c>
      <c r="F68" s="20"/>
      <c r="G68" s="20"/>
      <c r="H68" s="20"/>
      <c r="I68" s="20"/>
    </row>
    <row r="69" ht="18" customHeight="1" spans="1:9" x14ac:dyDescent="0.25">
      <c r="B69" s="15" t="s">
        <v>780</v>
      </c>
      <c r="C69" s="10"/>
      <c r="D69" s="2"/>
      <c r="E69" s="32" t="s">
        <v>203</v>
      </c>
      <c r="F69" s="20"/>
      <c r="G69" s="20"/>
      <c r="H69" s="20"/>
      <c r="I69" s="20"/>
    </row>
    <row r="70" ht="18" customHeight="1" spans="1:9" x14ac:dyDescent="0.25">
      <c r="B70" s="15" t="s">
        <v>781</v>
      </c>
      <c r="C70" s="10"/>
      <c r="D70" s="2"/>
      <c r="E70" s="32" t="s">
        <v>204</v>
      </c>
      <c r="F70" s="20"/>
      <c r="G70" s="20"/>
      <c r="H70" s="20"/>
      <c r="I70" s="20"/>
    </row>
    <row r="71" ht="18" customHeight="1" spans="1:9" x14ac:dyDescent="0.25">
      <c r="B71" s="15" t="s">
        <v>782</v>
      </c>
      <c r="C71" s="10"/>
      <c r="D71" s="2"/>
      <c r="E71" s="32" t="s">
        <v>205</v>
      </c>
      <c r="F71" s="20"/>
      <c r="G71" s="20"/>
      <c r="H71" s="20"/>
      <c r="I71" s="20"/>
    </row>
    <row r="73" ht="18" customHeight="1" spans="1:9" x14ac:dyDescent="0.25">
      <c r="B73" s="31" t="s">
        <v>194</v>
      </c>
      <c r="C73" s="10"/>
      <c r="D73" s="10"/>
      <c r="E73" s="10"/>
      <c r="F73" s="10"/>
      <c r="G73" s="10"/>
      <c r="H73" s="10"/>
      <c r="I73" s="2"/>
    </row>
    <row r="74" ht="18" customHeight="1" spans="1:9" x14ac:dyDescent="0.25">
      <c r="B74" s="15" t="s">
        <v>783</v>
      </c>
      <c r="C74" s="10"/>
      <c r="D74" s="2"/>
      <c r="E74" s="28" t="s">
        <v>201</v>
      </c>
      <c r="F74" s="10"/>
      <c r="G74" s="10"/>
      <c r="H74" s="10"/>
      <c r="I74" s="2"/>
    </row>
    <row r="75" ht="18" customHeight="1" spans="1:9" x14ac:dyDescent="0.25">
      <c r="B75" s="15" t="s">
        <v>784</v>
      </c>
      <c r="C75" s="10"/>
      <c r="D75" s="2"/>
      <c r="E75" s="28" t="s">
        <v>202</v>
      </c>
      <c r="F75" s="10"/>
      <c r="G75" s="10"/>
      <c r="H75" s="10"/>
      <c r="I75" s="2"/>
    </row>
    <row r="76" ht="18" customHeight="1" spans="1:9" x14ac:dyDescent="0.25">
      <c r="B76" s="15" t="s">
        <v>785</v>
      </c>
      <c r="C76" s="10"/>
      <c r="D76" s="2"/>
      <c r="E76" s="28" t="s">
        <v>203</v>
      </c>
      <c r="F76" s="10"/>
      <c r="G76" s="10"/>
      <c r="H76" s="10"/>
      <c r="I76" s="2"/>
    </row>
    <row r="77" ht="18" customHeight="1" spans="1:9" x14ac:dyDescent="0.25">
      <c r="B77" s="15" t="s">
        <v>786</v>
      </c>
      <c r="C77" s="10"/>
      <c r="D77" s="2"/>
      <c r="E77" s="28" t="s">
        <v>204</v>
      </c>
      <c r="F77" s="10"/>
      <c r="G77" s="10"/>
      <c r="H77" s="10"/>
      <c r="I77" s="2"/>
    </row>
    <row r="78" ht="18" customHeight="1" spans="1:9" x14ac:dyDescent="0.25">
      <c r="B78" s="15" t="s">
        <v>787</v>
      </c>
      <c r="C78" s="10"/>
      <c r="D78" s="2"/>
      <c r="E78" s="28" t="s">
        <v>205</v>
      </c>
      <c r="F78" s="10"/>
      <c r="G78" s="10"/>
      <c r="H78" s="10"/>
      <c r="I78" s="2"/>
    </row>
    <row r="80" ht="18" customHeight="1" spans="1:9" x14ac:dyDescent="0.25">
      <c r="B80" s="31" t="s">
        <v>200</v>
      </c>
      <c r="C80" s="10"/>
      <c r="D80" s="10"/>
      <c r="E80" s="10"/>
      <c r="F80" s="10"/>
      <c r="G80" s="10"/>
      <c r="H80" s="10"/>
      <c r="I80" s="2"/>
    </row>
    <row r="81" ht="18" customHeight="1" spans="1:9" x14ac:dyDescent="0.25">
      <c r="B81" s="15" t="s">
        <v>178</v>
      </c>
      <c r="C81" s="10"/>
      <c r="D81" s="2"/>
      <c r="E81" s="28" t="s">
        <v>201</v>
      </c>
      <c r="F81" s="10"/>
      <c r="G81" s="10"/>
      <c r="H81" s="10"/>
      <c r="I81" s="2"/>
    </row>
    <row r="82" ht="18" customHeight="1" spans="1:9" x14ac:dyDescent="0.25">
      <c r="B82" s="15" t="s">
        <v>180</v>
      </c>
      <c r="C82" s="10"/>
      <c r="D82" s="2"/>
      <c r="E82" s="28" t="s">
        <v>202</v>
      </c>
      <c r="F82" s="10"/>
      <c r="G82" s="10"/>
      <c r="H82" s="10"/>
      <c r="I82" s="2"/>
    </row>
    <row r="83" ht="18" customHeight="1" spans="1:9" x14ac:dyDescent="0.25">
      <c r="B83" s="15" t="s">
        <v>182</v>
      </c>
      <c r="C83" s="10"/>
      <c r="D83" s="2"/>
      <c r="E83" s="28" t="s">
        <v>203</v>
      </c>
      <c r="F83" s="10"/>
      <c r="G83" s="10"/>
      <c r="H83" s="10"/>
      <c r="I83" s="2"/>
    </row>
    <row r="84" ht="18" customHeight="1" spans="1:9" x14ac:dyDescent="0.25">
      <c r="B84" s="15" t="s">
        <v>184</v>
      </c>
      <c r="C84" s="10"/>
      <c r="D84" s="2"/>
      <c r="E84" s="28" t="s">
        <v>204</v>
      </c>
      <c r="F84" s="10"/>
      <c r="G84" s="10"/>
      <c r="H84" s="10"/>
      <c r="I84" s="2"/>
    </row>
    <row r="85" ht="18" customHeight="1" spans="1:9" x14ac:dyDescent="0.25">
      <c r="B85" s="15" t="s">
        <v>186</v>
      </c>
      <c r="C85" s="10"/>
      <c r="D85" s="2"/>
      <c r="E85" s="28" t="s">
        <v>205</v>
      </c>
      <c r="F85" s="10"/>
      <c r="G85" s="10"/>
      <c r="H85" s="10"/>
      <c r="I85" s="2"/>
    </row>
    <row r="87" ht="18" customHeight="1" spans="1:9" x14ac:dyDescent="0.25">
      <c r="B87" s="31" t="s">
        <v>206</v>
      </c>
      <c r="C87" s="10"/>
      <c r="D87" s="10"/>
      <c r="E87" s="10"/>
      <c r="F87" s="10"/>
      <c r="G87" s="10"/>
      <c r="H87" s="10"/>
      <c r="I87" s="2"/>
    </row>
    <row r="88" ht="18" customHeight="1" spans="1:9" x14ac:dyDescent="0.25">
      <c r="B88" s="15" t="s">
        <v>178</v>
      </c>
      <c r="C88" s="10"/>
      <c r="D88" s="2"/>
      <c r="E88" s="28" t="s">
        <v>201</v>
      </c>
      <c r="F88" s="10"/>
      <c r="G88" s="10"/>
      <c r="H88" s="10"/>
      <c r="I88" s="2"/>
    </row>
    <row r="89" ht="18" customHeight="1" spans="1:9" x14ac:dyDescent="0.25">
      <c r="B89" s="15" t="s">
        <v>180</v>
      </c>
      <c r="C89" s="10"/>
      <c r="D89" s="2"/>
      <c r="E89" s="28" t="s">
        <v>202</v>
      </c>
      <c r="F89" s="10"/>
      <c r="G89" s="10"/>
      <c r="H89" s="10"/>
      <c r="I89" s="2"/>
    </row>
    <row r="90" ht="18" customHeight="1" spans="1:9" x14ac:dyDescent="0.25">
      <c r="B90" s="15" t="s">
        <v>182</v>
      </c>
      <c r="C90" s="10"/>
      <c r="D90" s="2"/>
      <c r="E90" s="28" t="s">
        <v>203</v>
      </c>
      <c r="F90" s="10"/>
      <c r="G90" s="10"/>
      <c r="H90" s="10"/>
      <c r="I90" s="2"/>
    </row>
    <row r="91" ht="18" customHeight="1" spans="1:9" x14ac:dyDescent="0.25">
      <c r="B91" s="15" t="s">
        <v>184</v>
      </c>
      <c r="C91" s="10"/>
      <c r="D91" s="2"/>
      <c r="E91" s="28" t="s">
        <v>204</v>
      </c>
      <c r="F91" s="10"/>
      <c r="G91" s="10"/>
      <c r="H91" s="10"/>
      <c r="I91" s="2"/>
    </row>
    <row r="92" ht="18" customHeight="1" spans="1:9" x14ac:dyDescent="0.25">
      <c r="B92" s="15" t="s">
        <v>186</v>
      </c>
      <c r="C92" s="10"/>
      <c r="D92" s="2"/>
      <c r="E92" s="28" t="s">
        <v>205</v>
      </c>
      <c r="F92" s="10"/>
      <c r="G92" s="10"/>
      <c r="H92" s="10"/>
      <c r="I92" s="2"/>
    </row>
    <row r="94" ht="15.75" customHeight="1" spans="1:9" x14ac:dyDescent="0.25">
      <c r="B94" s="34" t="s">
        <v>788</v>
      </c>
      <c r="C94" s="10"/>
      <c r="D94" s="10"/>
      <c r="E94" s="10"/>
      <c r="F94" s="10"/>
      <c r="G94" s="10"/>
      <c r="H94" s="10"/>
      <c r="I94" s="2"/>
    </row>
  </sheetData>
  <mergeCells count="106">
    <mergeCell ref="B2:I2"/>
    <mergeCell ref="B3:I3"/>
    <mergeCell ref="B5:I5"/>
    <mergeCell ref="B6:I6"/>
    <mergeCell ref="B17:I17"/>
    <mergeCell ref="B18:I18"/>
    <mergeCell ref="D19:F19"/>
    <mergeCell ref="G19:H19"/>
    <mergeCell ref="B20:I20"/>
    <mergeCell ref="B24:I24"/>
    <mergeCell ref="B28:I28"/>
    <mergeCell ref="B32:I32"/>
    <mergeCell ref="B37:I37"/>
    <mergeCell ref="B38:I38"/>
    <mergeCell ref="E39:I39"/>
    <mergeCell ref="B40:D40"/>
    <mergeCell ref="E40:I40"/>
    <mergeCell ref="B41:D41"/>
    <mergeCell ref="E41:I41"/>
    <mergeCell ref="B42:D42"/>
    <mergeCell ref="E42:I42"/>
    <mergeCell ref="B43:D43"/>
    <mergeCell ref="E43:I43"/>
    <mergeCell ref="B44:D44"/>
    <mergeCell ref="E44:I44"/>
    <mergeCell ref="B45:D45"/>
    <mergeCell ref="E45:I45"/>
    <mergeCell ref="B46:D46"/>
    <mergeCell ref="E46:I46"/>
    <mergeCell ref="B47:D47"/>
    <mergeCell ref="E47:I47"/>
    <mergeCell ref="B48:D48"/>
    <mergeCell ref="E48:I48"/>
    <mergeCell ref="B49:D49"/>
    <mergeCell ref="E49:I49"/>
    <mergeCell ref="B50:D50"/>
    <mergeCell ref="E50:I50"/>
    <mergeCell ref="B51:D51"/>
    <mergeCell ref="E51:I51"/>
    <mergeCell ref="B52:D52"/>
    <mergeCell ref="E52:I52"/>
    <mergeCell ref="B53:D53"/>
    <mergeCell ref="E53:I53"/>
    <mergeCell ref="B54:D54"/>
    <mergeCell ref="E54:I54"/>
    <mergeCell ref="B55:D55"/>
    <mergeCell ref="E55:I55"/>
    <mergeCell ref="E56:I56"/>
    <mergeCell ref="B57:I57"/>
    <mergeCell ref="B58:I58"/>
    <mergeCell ref="B59:I59"/>
    <mergeCell ref="B60:D60"/>
    <mergeCell ref="E60:I60"/>
    <mergeCell ref="B61:D61"/>
    <mergeCell ref="E61:I61"/>
    <mergeCell ref="B62:D62"/>
    <mergeCell ref="E62:I62"/>
    <mergeCell ref="B63:D63"/>
    <mergeCell ref="E63:I63"/>
    <mergeCell ref="B64:D64"/>
    <mergeCell ref="E64:I64"/>
    <mergeCell ref="B66:I66"/>
    <mergeCell ref="B67:D67"/>
    <mergeCell ref="E67:I67"/>
    <mergeCell ref="B68:D68"/>
    <mergeCell ref="E68:I68"/>
    <mergeCell ref="B69:D69"/>
    <mergeCell ref="E69:I69"/>
    <mergeCell ref="B70:D70"/>
    <mergeCell ref="E70:I70"/>
    <mergeCell ref="B71:D71"/>
    <mergeCell ref="E71:I71"/>
    <mergeCell ref="B73:I73"/>
    <mergeCell ref="B74:D74"/>
    <mergeCell ref="E74:I74"/>
    <mergeCell ref="B75:D75"/>
    <mergeCell ref="E75:I75"/>
    <mergeCell ref="B76:D76"/>
    <mergeCell ref="E76:I76"/>
    <mergeCell ref="B77:D77"/>
    <mergeCell ref="E77:I77"/>
    <mergeCell ref="B78:D78"/>
    <mergeCell ref="E78:I78"/>
    <mergeCell ref="B80:I80"/>
    <mergeCell ref="B81:D81"/>
    <mergeCell ref="E81:I81"/>
    <mergeCell ref="B82:D82"/>
    <mergeCell ref="E82:I82"/>
    <mergeCell ref="B83:D83"/>
    <mergeCell ref="E83:I83"/>
    <mergeCell ref="B84:D84"/>
    <mergeCell ref="E84:I84"/>
    <mergeCell ref="B85:D85"/>
    <mergeCell ref="E85:I85"/>
    <mergeCell ref="B87:I87"/>
    <mergeCell ref="B88:D88"/>
    <mergeCell ref="E88:I88"/>
    <mergeCell ref="B89:D89"/>
    <mergeCell ref="E89:I89"/>
    <mergeCell ref="B90:D90"/>
    <mergeCell ref="E90:I90"/>
    <mergeCell ref="B91:D91"/>
    <mergeCell ref="E91:I91"/>
    <mergeCell ref="B92:D92"/>
    <mergeCell ref="E92:I92"/>
    <mergeCell ref="B94:I94"/>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22"/>
  <sheetViews>
    <sheetView workbookViewId="0" showGridLines="0" zoomScale="100" zoomScaleNormal="100">
      <selection activeCell="D26" sqref="D26"/>
    </sheetView>
  </sheetViews>
  <sheetFormatPr defaultRowHeight="14.4" outlineLevelRow="0" outlineLevelCol="0" x14ac:dyDescent="0.3" defaultColWidth="8.5546875" customHeight="1"/>
  <cols>
    <col min="1" max="1" width="3" customWidth="1"/>
    <col min="2" max="2" width="12" customWidth="1"/>
    <col min="3" max="6" width="16" customWidth="1"/>
    <col min="7" max="11" width="13" customWidth="1"/>
  </cols>
  <sheetData>
    <row r="1" ht="13.5" customHeight="1" x14ac:dyDescent="0.25"/>
    <row r="2" ht="33.75" customHeight="1" spans="2:12" x14ac:dyDescent="0.25">
      <c r="B2" s="18" t="s">
        <v>789</v>
      </c>
      <c r="C2" s="10"/>
      <c r="D2" s="10"/>
      <c r="E2" s="10"/>
      <c r="F2" s="10"/>
      <c r="G2" s="10"/>
      <c r="H2" s="10"/>
      <c r="I2" s="10"/>
      <c r="J2" s="10"/>
      <c r="K2" s="10"/>
      <c r="L2" s="2"/>
    </row>
    <row r="4" ht="19.5" customHeight="1" spans="2:12" x14ac:dyDescent="0.25">
      <c r="B4" s="6" t="s">
        <v>790</v>
      </c>
      <c r="C4" s="10"/>
      <c r="D4" s="10"/>
      <c r="E4" s="10"/>
      <c r="F4" s="10"/>
      <c r="G4" s="10"/>
      <c r="H4" s="10"/>
      <c r="I4" s="10"/>
      <c r="J4" s="10"/>
      <c r="K4" s="10"/>
      <c r="L4" s="2"/>
    </row>
    <row r="5" ht="19.5" customHeight="1" spans="2:12" x14ac:dyDescent="0.25">
      <c r="B5" s="12" t="s">
        <v>791</v>
      </c>
      <c r="C5" s="12" t="s">
        <v>792</v>
      </c>
      <c r="D5" s="12" t="s">
        <v>793</v>
      </c>
      <c r="E5" s="12" t="s">
        <v>794</v>
      </c>
      <c r="F5" s="12" t="s">
        <v>795</v>
      </c>
      <c r="G5" s="12" t="s">
        <v>796</v>
      </c>
      <c r="H5" s="12" t="s">
        <v>797</v>
      </c>
      <c r="I5" s="12" t="s">
        <v>215</v>
      </c>
      <c r="J5" s="12" t="s">
        <v>100</v>
      </c>
      <c r="K5" s="12" t="s">
        <v>95</v>
      </c>
      <c r="L5" s="12" t="s">
        <v>51</v>
      </c>
    </row>
    <row r="6" ht="18" customHeight="1" spans="2:12" x14ac:dyDescent="0.25">
      <c r="B6" s="40" t="s">
        <v>798</v>
      </c>
      <c r="C6" s="40">
        <f>COUNTIF(Week_01!$C$8:$C$15,"A")</f>
        <v>3</v>
      </c>
      <c r="D6" s="40">
        <f>COUNTIF(Week_01!$C$8:$C$15,"B")</f>
        <v>1</v>
      </c>
      <c r="E6" s="40">
        <f>COUNTIF(Week_01!$C$8:$C$15,"C")</f>
        <v>4</v>
      </c>
      <c r="F6" s="40">
        <f>COUNTIF(Week_01!$C$8:$C$15,"D")</f>
        <v>0</v>
      </c>
      <c r="G6" s="40">
        <f>COUNTIF(Week_01!$C$8:$C$15,"E")</f>
        <v>0</v>
      </c>
      <c r="H6" s="40">
        <f t="shared" ref="H6:H15" si="0">SUM(C6:G6)</f>
        <v>8</v>
      </c>
      <c r="I6" s="40">
        <f>COUNTIF(Week_01!$G$8:$G$15,"Low")</f>
        <v>0</v>
      </c>
      <c r="J6" s="40">
        <f>COUNTIF(Week_01!$G$8:$G$15,"Medium")</f>
        <v>2</v>
      </c>
      <c r="K6" s="40">
        <f>COUNTIF(Week_01!$G$8:$G$15,"High")</f>
        <v>6</v>
      </c>
      <c r="L6" s="40"/>
    </row>
    <row r="7" ht="18" customHeight="1" spans="2:12" x14ac:dyDescent="0.25">
      <c r="B7" s="40" t="s">
        <v>799</v>
      </c>
      <c r="C7" s="40">
        <f>COUNTIF(Week_02!$C$8:$C$15,"A")</f>
        <v>2</v>
      </c>
      <c r="D7" s="40">
        <f>COUNTIF(Week_02!$C$8:$C$15,"B")</f>
        <v>2</v>
      </c>
      <c r="E7" s="40">
        <f>COUNTIF(Week_02!$C$8:$C$15,"C")</f>
        <v>2</v>
      </c>
      <c r="F7" s="40">
        <f>COUNTIF(Week_02!$C$8:$C$15,"D")</f>
        <v>0</v>
      </c>
      <c r="G7" s="40">
        <f>COUNTIF(Week_02!$C$8:$C$15,"E")</f>
        <v>0</v>
      </c>
      <c r="H7" s="40">
        <f t="shared" si="0"/>
        <v>6</v>
      </c>
      <c r="I7" s="40">
        <f>COUNTIF(Week_02!$G$8:$G$15,"Low")</f>
        <v>1</v>
      </c>
      <c r="J7" s="40">
        <f>COUNTIF(Week_02!$G$8:$G$15,"Medium")</f>
        <v>3</v>
      </c>
      <c r="K7" s="40">
        <f>COUNTIF(Week_02!$G$8:$G$15,"High")</f>
        <v>2</v>
      </c>
      <c r="L7" s="40"/>
    </row>
    <row r="8" ht="18" customHeight="1" spans="2:12" x14ac:dyDescent="0.25">
      <c r="B8" s="40" t="s">
        <v>800</v>
      </c>
      <c r="C8" s="40">
        <f>COUNTIF(Week_03!$C$8:$C$15,"A")</f>
        <v>2</v>
      </c>
      <c r="D8" s="40">
        <f>COUNTIF(Week_03!$C$8:$C$15,"B")</f>
        <v>2</v>
      </c>
      <c r="E8" s="40">
        <f>COUNTIF(Week_03!$C$8:$C$15,"C")</f>
        <v>2</v>
      </c>
      <c r="F8" s="40">
        <f>COUNTIF(Week_03!$C$8:$C$15,"D")</f>
        <v>0</v>
      </c>
      <c r="G8" s="40">
        <f>COUNTIF(Week_03!$C$8:$C$15,"E")</f>
        <v>0</v>
      </c>
      <c r="H8" s="40">
        <f t="shared" si="0"/>
        <v>6</v>
      </c>
      <c r="I8" s="40">
        <f>COUNTIF(Week_03!$G$8:$G$15,"Low")</f>
        <v>1</v>
      </c>
      <c r="J8" s="40">
        <f>COUNTIF(Week_03!$G$8:$G$15,"Medium")</f>
        <v>3</v>
      </c>
      <c r="K8" s="40">
        <f>COUNTIF(Week_03!$G$8:$G$15,"High")</f>
        <v>2</v>
      </c>
      <c r="L8" s="40"/>
    </row>
    <row r="9" ht="18" customHeight="1" spans="2:12" x14ac:dyDescent="0.25">
      <c r="B9" s="40" t="s">
        <v>801</v>
      </c>
      <c r="C9" s="40">
        <f>COUNTIF(Week_04!$C$8:$C$15,"A")</f>
        <v>0</v>
      </c>
      <c r="D9" s="40">
        <f>COUNTIF(Week_04!$C$8:$C$15,"B")</f>
        <v>0</v>
      </c>
      <c r="E9" s="40">
        <f>COUNTIF(Week_04!$C$8:$C$15,"C")</f>
        <v>0</v>
      </c>
      <c r="F9" s="40">
        <f>COUNTIF(Week_04!$C$8:$C$15,"D")</f>
        <v>0</v>
      </c>
      <c r="G9" s="40">
        <f>COUNTIF(Week_04!$C$8:$C$15,"E")</f>
        <v>0</v>
      </c>
      <c r="H9" s="40">
        <f t="shared" si="0"/>
        <v>0</v>
      </c>
      <c r="I9" s="40">
        <f>COUNTIF(Week_04!$G$8:$G$15,"Low")</f>
        <v>0</v>
      </c>
      <c r="J9" s="40">
        <f>COUNTIF(Week_04!$G$8:$G$15,"Medium")</f>
        <v>0</v>
      </c>
      <c r="K9" s="40">
        <f>COUNTIF(Week_04!$G$8:$G$15,"High")</f>
        <v>0</v>
      </c>
      <c r="L9" s="40"/>
    </row>
    <row r="10" ht="18" customHeight="1" spans="2:12" x14ac:dyDescent="0.25">
      <c r="B10" s="40" t="s">
        <v>802</v>
      </c>
      <c r="C10" s="40">
        <f>COUNTIF(Week_05!$C$8:$C$15,"A")</f>
        <v>0</v>
      </c>
      <c r="D10" s="40">
        <f>COUNTIF(Week_05!$C$8:$C$15,"B")</f>
        <v>0</v>
      </c>
      <c r="E10" s="40">
        <f>COUNTIF(Week_05!$C$8:$C$15,"C")</f>
        <v>0</v>
      </c>
      <c r="F10" s="40">
        <f>COUNTIF(Week_05!$C$8:$C$15,"D")</f>
        <v>0</v>
      </c>
      <c r="G10" s="40">
        <f>COUNTIF(Week_05!$C$8:$C$15,"E")</f>
        <v>0</v>
      </c>
      <c r="H10" s="40">
        <f t="shared" si="0"/>
        <v>0</v>
      </c>
      <c r="I10" s="40">
        <f>COUNTIF(Week_05!$G$8:$G$15,"Low")</f>
        <v>0</v>
      </c>
      <c r="J10" s="40">
        <f>COUNTIF(Week_05!$G$8:$G$15,"Medium")</f>
        <v>0</v>
      </c>
      <c r="K10" s="40">
        <f>COUNTIF(Week_05!$G$8:$G$15,"High")</f>
        <v>0</v>
      </c>
      <c r="L10" s="40"/>
    </row>
    <row r="11" ht="18" customHeight="1" spans="2:12" x14ac:dyDescent="0.25">
      <c r="B11" s="40" t="s">
        <v>803</v>
      </c>
      <c r="C11" s="40">
        <f>COUNTIF(Week_06!$C$8:$C$15,"A")</f>
        <v>0</v>
      </c>
      <c r="D11" s="40">
        <f>COUNTIF(Week_06!$C$8:$C$15,"B")</f>
        <v>0</v>
      </c>
      <c r="E11" s="40">
        <f>COUNTIF(Week_06!$C$8:$C$15,"C")</f>
        <v>0</v>
      </c>
      <c r="F11" s="40">
        <f>COUNTIF(Week_06!$C$8:$C$15,"D")</f>
        <v>0</v>
      </c>
      <c r="G11" s="40">
        <f>COUNTIF(Week_06!$C$8:$C$15,"E")</f>
        <v>0</v>
      </c>
      <c r="H11" s="40">
        <f t="shared" si="0"/>
        <v>0</v>
      </c>
      <c r="I11" s="40">
        <f>COUNTIF(Week_06!$G$8:$G$15,"Low")</f>
        <v>0</v>
      </c>
      <c r="J11" s="40">
        <f>COUNTIF(Week_06!$G$8:$G$15,"Medium")</f>
        <v>0</v>
      </c>
      <c r="K11" s="40">
        <f>COUNTIF(Week_06!$G$8:$G$15,"High")</f>
        <v>0</v>
      </c>
      <c r="L11" s="40"/>
    </row>
    <row r="12" ht="18" customHeight="1" spans="2:12" x14ac:dyDescent="0.25">
      <c r="B12" s="40" t="s">
        <v>804</v>
      </c>
      <c r="C12" s="40">
        <f>COUNTIF(Week_07!$C$8:$C$15,"A")</f>
        <v>0</v>
      </c>
      <c r="D12" s="40">
        <f>COUNTIF(Week_07!$C$8:$C$15,"B")</f>
        <v>0</v>
      </c>
      <c r="E12" s="40">
        <f>COUNTIF(Week_07!$C$8:$C$15,"C")</f>
        <v>0</v>
      </c>
      <c r="F12" s="40">
        <f>COUNTIF(Week_07!$C$8:$C$15,"D")</f>
        <v>0</v>
      </c>
      <c r="G12" s="40">
        <f>COUNTIF(Week_07!$C$8:$C$15,"E")</f>
        <v>0</v>
      </c>
      <c r="H12" s="40">
        <f t="shared" si="0"/>
        <v>0</v>
      </c>
      <c r="I12" s="40">
        <f>COUNTIF(Week_07!$G$8:$G$15,"Low")</f>
        <v>0</v>
      </c>
      <c r="J12" s="40">
        <f>COUNTIF(Week_07!$G$8:$G$15,"Medium")</f>
        <v>0</v>
      </c>
      <c r="K12" s="40">
        <f>COUNTIF(Week_07!$G$8:$G$15,"High")</f>
        <v>0</v>
      </c>
      <c r="L12" s="40"/>
    </row>
    <row r="13" ht="18" customHeight="1" spans="2:12" x14ac:dyDescent="0.25">
      <c r="B13" s="40" t="s">
        <v>805</v>
      </c>
      <c r="C13" s="40">
        <f>COUNTIF(Week_08!$C$8:$C$15,"A")</f>
        <v>0</v>
      </c>
      <c r="D13" s="40">
        <f>COUNTIF(Week_08!$C$8:$C$15,"B")</f>
        <v>0</v>
      </c>
      <c r="E13" s="40">
        <f>COUNTIF(Week_08!$C$8:$C$15,"C")</f>
        <v>0</v>
      </c>
      <c r="F13" s="40">
        <f>COUNTIF(Week_08!$C$8:$C$15,"D")</f>
        <v>0</v>
      </c>
      <c r="G13" s="40">
        <f>COUNTIF(Week_08!$C$8:$C$15,"E")</f>
        <v>0</v>
      </c>
      <c r="H13" s="40">
        <f t="shared" si="0"/>
        <v>0</v>
      </c>
      <c r="I13" s="40">
        <f>COUNTIF(Week_08!$G$8:$G$15,"Low")</f>
        <v>0</v>
      </c>
      <c r="J13" s="40">
        <f>COUNTIF(Week_08!$G$8:$G$15,"Medium")</f>
        <v>0</v>
      </c>
      <c r="K13" s="40">
        <f>COUNTIF(Week_08!$G$8:$G$15,"High")</f>
        <v>0</v>
      </c>
      <c r="L13" s="40"/>
    </row>
    <row r="14" ht="18" customHeight="1" spans="2:12" x14ac:dyDescent="0.25">
      <c r="B14" s="40" t="s">
        <v>806</v>
      </c>
      <c r="C14" s="40">
        <f>COUNTIF(Week_09!$C$8:$C$15,"A")</f>
        <v>0</v>
      </c>
      <c r="D14" s="40">
        <f>COUNTIF(Week_09!$C$8:$C$15,"B")</f>
        <v>0</v>
      </c>
      <c r="E14" s="40">
        <f>COUNTIF(Week_09!$C$8:$C$15,"C")</f>
        <v>0</v>
      </c>
      <c r="F14" s="40">
        <f>COUNTIF(Week_09!$C$8:$C$15,"D")</f>
        <v>0</v>
      </c>
      <c r="G14" s="40">
        <f>COUNTIF(Week_09!$C$8:$C$15,"E")</f>
        <v>0</v>
      </c>
      <c r="H14" s="40">
        <f t="shared" si="0"/>
        <v>0</v>
      </c>
      <c r="I14" s="40">
        <f>COUNTIF(Week_09!$G$8:$G$15,"Low")</f>
        <v>0</v>
      </c>
      <c r="J14" s="40">
        <f>COUNTIF(Week_09!$G$8:$G$15,"Medium")</f>
        <v>0</v>
      </c>
      <c r="K14" s="40">
        <f>COUNTIF(Week_09!$G$8:$G$15,"High")</f>
        <v>0</v>
      </c>
      <c r="L14" s="40"/>
    </row>
    <row r="15" ht="18" customHeight="1" spans="2:12" x14ac:dyDescent="0.25">
      <c r="B15" s="40" t="s">
        <v>807</v>
      </c>
      <c r="C15" s="40">
        <f>COUNTIF(Week_10!$C$8:$C$15,"A")</f>
        <v>0</v>
      </c>
      <c r="D15" s="40">
        <f>COUNTIF(Week_10!$C$8:$C$15,"B")</f>
        <v>0</v>
      </c>
      <c r="E15" s="40">
        <f>COUNTIF(Week_10!$C$8:$C$15,"C")</f>
        <v>0</v>
      </c>
      <c r="F15" s="40">
        <f>COUNTIF(Week_10!$C$8:$C$15,"D")</f>
        <v>0</v>
      </c>
      <c r="G15" s="40">
        <f>COUNTIF(Week_10!$C$8:$C$15,"E")</f>
        <v>0</v>
      </c>
      <c r="H15" s="40">
        <f t="shared" si="0"/>
        <v>0</v>
      </c>
      <c r="I15" s="40">
        <f>COUNTIF(Week_10!$G$8:$G$15,"Low")</f>
        <v>0</v>
      </c>
      <c r="J15" s="40">
        <f>COUNTIF(Week_10!$G$8:$G$15,"Medium")</f>
        <v>0</v>
      </c>
      <c r="K15" s="40">
        <f>COUNTIF(Week_10!$G$8:$G$15,"High")</f>
        <v>0</v>
      </c>
      <c r="L15" s="40"/>
    </row>
    <row r="16" ht="19.5" customHeight="1" spans="2:12" x14ac:dyDescent="0.25">
      <c r="B16" s="12" t="s">
        <v>808</v>
      </c>
      <c r="C16" s="12">
        <f t="shared" ref="C16:K16" si="1">SUM(C6:C15)</f>
        <v>7</v>
      </c>
      <c r="D16" s="12">
        <f t="shared" si="1"/>
        <v>5</v>
      </c>
      <c r="E16" s="12">
        <f t="shared" si="1"/>
        <v>8</v>
      </c>
      <c r="F16" s="12">
        <f t="shared" si="1"/>
        <v>0</v>
      </c>
      <c r="G16" s="12">
        <f t="shared" si="1"/>
        <v>0</v>
      </c>
      <c r="H16" s="12">
        <f t="shared" si="1"/>
        <v>20</v>
      </c>
      <c r="I16" s="12">
        <f t="shared" si="1"/>
        <v>2</v>
      </c>
      <c r="J16" s="12">
        <f t="shared" si="1"/>
        <v>8</v>
      </c>
      <c r="K16" s="12">
        <f t="shared" si="1"/>
        <v>10</v>
      </c>
      <c r="L16" s="12"/>
    </row>
    <row r="18" ht="19.5" customHeight="1" spans="2:12" x14ac:dyDescent="0.25">
      <c r="B18" s="30" t="s">
        <v>809</v>
      </c>
      <c r="C18" s="10"/>
      <c r="D18" s="10"/>
      <c r="E18" s="10"/>
      <c r="F18" s="10"/>
      <c r="G18" s="10"/>
      <c r="H18" s="10"/>
      <c r="I18" s="10"/>
      <c r="J18" s="10"/>
      <c r="K18" s="10"/>
      <c r="L18" s="2"/>
    </row>
    <row r="19" ht="21.75" customHeight="1" spans="2:12" x14ac:dyDescent="0.25">
      <c r="B19" s="41" t="s">
        <v>810</v>
      </c>
      <c r="C19" s="10"/>
      <c r="D19" s="10"/>
      <c r="E19" s="5"/>
      <c r="F19" s="10"/>
      <c r="G19" s="10"/>
      <c r="H19" s="10"/>
      <c r="I19" s="10"/>
      <c r="J19" s="10"/>
      <c r="K19" s="10"/>
      <c r="L19" s="2"/>
    </row>
    <row r="20" ht="21.75" customHeight="1" spans="2:12" x14ac:dyDescent="0.25">
      <c r="B20" s="41" t="s">
        <v>811</v>
      </c>
      <c r="C20" s="10"/>
      <c r="D20" s="10"/>
      <c r="E20" s="5"/>
      <c r="F20" s="10"/>
      <c r="G20" s="10"/>
      <c r="H20" s="10"/>
      <c r="I20" s="10"/>
      <c r="J20" s="10"/>
      <c r="K20" s="10"/>
      <c r="L20" s="2"/>
    </row>
    <row r="21" ht="21.75" customHeight="1" spans="2:12" x14ac:dyDescent="0.25">
      <c r="B21" s="41" t="s">
        <v>812</v>
      </c>
      <c r="C21" s="10"/>
      <c r="D21" s="10"/>
      <c r="E21" s="5"/>
      <c r="F21" s="10"/>
      <c r="G21" s="10"/>
      <c r="H21" s="10"/>
      <c r="I21" s="10"/>
      <c r="J21" s="10"/>
      <c r="K21" s="10"/>
      <c r="L21" s="2"/>
    </row>
    <row r="22" ht="32.25" customHeight="1" spans="2:12" x14ac:dyDescent="0.25">
      <c r="B22" s="41" t="s">
        <v>813</v>
      </c>
      <c r="C22" s="10"/>
      <c r="D22" s="10"/>
      <c r="E22" s="5"/>
      <c r="F22" s="10"/>
      <c r="G22" s="10"/>
      <c r="H22" s="10"/>
      <c r="I22" s="10"/>
      <c r="J22" s="10"/>
      <c r="K22" s="10"/>
      <c r="L22" s="2"/>
    </row>
  </sheetData>
  <mergeCells count="11">
    <mergeCell ref="B2:L2"/>
    <mergeCell ref="B4:L4"/>
    <mergeCell ref="B18:L18"/>
    <mergeCell ref="B19:D19"/>
    <mergeCell ref="E19:L19"/>
    <mergeCell ref="B20:D20"/>
    <mergeCell ref="E20:L20"/>
    <mergeCell ref="B21:D21"/>
    <mergeCell ref="E21:L21"/>
    <mergeCell ref="B22:D22"/>
    <mergeCell ref="E22:L22"/>
  </mergeCells>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Hướng dẫn</vt:lpstr>
      <vt:lpstr>Thông tin nhóm</vt:lpstr>
      <vt:lpstr>Week_01</vt:lpstr>
      <vt:lpstr>Week_02</vt:lpstr>
      <vt:lpstr>Week_03</vt:lpstr>
      <vt:lpstr>Week_04</vt:lpstr>
      <vt:lpstr>Week_05</vt:lpstr>
      <vt:lpstr>Week_06</vt:lpstr>
      <vt:lpstr>Week_07</vt:lpstr>
      <vt:lpstr>Week_08</vt:lpstr>
      <vt:lpstr>Week_09</vt:lpstr>
      <vt:lpstr>Week_10</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lastModifiedBy>ADMIN</cp:lastModifiedBy>
  <dcterms:created xsi:type="dcterms:W3CDTF">2026-05-29T14:09:10Z</dcterms:created>
  <dcterms:modified xsi:type="dcterms:W3CDTF">2026-06-24T07:17:17Z</dcterms:modified>
</cp:coreProperties>
</file>