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FPT\summer2026\FER202\Research By Learning\rbl-fer202-theotuan-team-fjms\"/>
    </mc:Choice>
  </mc:AlternateContent>
  <xr:revisionPtr revIDLastSave="0" documentId="13_ncr:1_{9B7BB76E-0CD5-41CF-A431-41A658936FCE}" xr6:coauthVersionLast="36" xr6:coauthVersionMax="36" xr10:uidLastSave="{00000000-0000-0000-0000-000000000000}"/>
  <bookViews>
    <workbookView xWindow="-105" yWindow="-105" windowWidth="24225" windowHeight="15495" tabRatio="500" activeTab="4" xr2:uid="{00000000-000D-0000-FFFF-FFFF00000000}"/>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calcPr calcId="191029" iterateDelta="1E-4"/>
</workbook>
</file>

<file path=xl/calcChain.xml><?xml version="1.0" encoding="utf-8"?>
<calcChain xmlns="http://schemas.openxmlformats.org/spreadsheetml/2006/main">
  <c r="K15" i="13" l="1"/>
  <c r="J15" i="13"/>
  <c r="I15" i="13"/>
  <c r="G15" i="13"/>
  <c r="F15" i="13"/>
  <c r="E15" i="13"/>
  <c r="D15" i="13"/>
  <c r="C15" i="13"/>
  <c r="H15" i="13" s="1"/>
  <c r="K14" i="13"/>
  <c r="J14" i="13"/>
  <c r="I14" i="13"/>
  <c r="G14" i="13"/>
  <c r="F14" i="13"/>
  <c r="E14" i="13"/>
  <c r="D14" i="13"/>
  <c r="C14" i="13"/>
  <c r="H14" i="13" s="1"/>
  <c r="K13" i="13"/>
  <c r="J13" i="13"/>
  <c r="I13" i="13"/>
  <c r="G13" i="13"/>
  <c r="F13" i="13"/>
  <c r="E13" i="13"/>
  <c r="D13" i="13"/>
  <c r="C13" i="13"/>
  <c r="H13" i="13" s="1"/>
  <c r="K12" i="13"/>
  <c r="J12" i="13"/>
  <c r="I12" i="13"/>
  <c r="H12" i="13"/>
  <c r="G12" i="13"/>
  <c r="F12" i="13"/>
  <c r="E12" i="13"/>
  <c r="D12" i="13"/>
  <c r="C12" i="13"/>
  <c r="K11" i="13"/>
  <c r="J11" i="13"/>
  <c r="I11" i="13"/>
  <c r="G11" i="13"/>
  <c r="F11" i="13"/>
  <c r="E11" i="13"/>
  <c r="D11" i="13"/>
  <c r="C11" i="13"/>
  <c r="H11" i="13" s="1"/>
  <c r="K10" i="13"/>
  <c r="J10" i="13"/>
  <c r="I10" i="13"/>
  <c r="G10" i="13"/>
  <c r="F10" i="13"/>
  <c r="E10" i="13"/>
  <c r="D10" i="13"/>
  <c r="H10" i="13" s="1"/>
  <c r="C10" i="13"/>
  <c r="K9" i="13"/>
  <c r="J9" i="13"/>
  <c r="I9" i="13"/>
  <c r="G9" i="13"/>
  <c r="F9" i="13"/>
  <c r="E9" i="13"/>
  <c r="D9" i="13"/>
  <c r="C9" i="13"/>
  <c r="H9" i="13" s="1"/>
  <c r="K8" i="13"/>
  <c r="J8" i="13"/>
  <c r="I8" i="13"/>
  <c r="G8" i="13"/>
  <c r="F8" i="13"/>
  <c r="H8" i="13" s="1"/>
  <c r="E8" i="13"/>
  <c r="D8" i="13"/>
  <c r="C8" i="13"/>
  <c r="K7" i="13"/>
  <c r="J7" i="13"/>
  <c r="I7" i="13"/>
  <c r="G7" i="13"/>
  <c r="F7" i="13"/>
  <c r="E7" i="13"/>
  <c r="D7" i="13"/>
  <c r="C7" i="13"/>
  <c r="H7" i="13" s="1"/>
  <c r="K6" i="13"/>
  <c r="K16" i="13" s="1"/>
  <c r="J6" i="13"/>
  <c r="J16" i="13" s="1"/>
  <c r="I6" i="13"/>
  <c r="I16" i="13" s="1"/>
  <c r="G6" i="13"/>
  <c r="G16" i="13" s="1"/>
  <c r="F6" i="13"/>
  <c r="F16" i="13" s="1"/>
  <c r="E6" i="13"/>
  <c r="E16" i="13" s="1"/>
  <c r="D6" i="13"/>
  <c r="D16" i="13" s="1"/>
  <c r="C6" i="13"/>
  <c r="C16" i="13" s="1"/>
  <c r="H6" i="13" l="1"/>
  <c r="H16" i="13" s="1"/>
</calcChain>
</file>

<file path=xl/sharedStrings.xml><?xml version="1.0" encoding="utf-8"?>
<sst xmlns="http://schemas.openxmlformats.org/spreadsheetml/2006/main" count="1237" uniqueCount="246">
  <si>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</si>
  <si>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</si>
  <si>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</si>
  <si>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</si>
  <si>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</si>
  <si>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</si>
  <si>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</si>
  <si>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</si>
  <si>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</si>
  <si>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</si>
  <si>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</si>
  <si>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</si>
  <si>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</si>
  <si>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</si>
  <si>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</si>
  <si>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</si>
  <si>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</si>
  <si>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</si>
  <si>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</si>
  <si>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</si>
  <si>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</si>
  <si>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</si>
  <si>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</si>
  <si>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</si>
  <si>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</si>
  <si>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</si>
  <si>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</si>
  <si>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</si>
  <si>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</si>
  <si>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</si>
  <si>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</si>
  <si>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</si>
  <si>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</si>
  <si>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</si>
  <si>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</si>
  <si>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</si>
  <si>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</si>
  <si>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FER202_SE20A07</t>
  </si>
  <si>
    <t>Giảng viên</t>
  </si>
  <si>
    <t>Lê Thị Bích Tra  —  traltb@fe.edu.vn</t>
  </si>
  <si>
    <t>Học kỳ / Năm học</t>
  </si>
  <si>
    <t>SU26</t>
  </si>
  <si>
    <t>Tên nhóm</t>
  </si>
  <si>
    <t>FJMS</t>
  </si>
  <si>
    <t>Số thành viên</t>
  </si>
  <si>
    <t>👥  Danh sách thành viên</t>
  </si>
  <si>
    <t>Ký hiệu (*)</t>
  </si>
  <si>
    <t>Họ và tên (*)</t>
  </si>
  <si>
    <t>MSSV (*)</t>
  </si>
  <si>
    <t>Email (*)</t>
  </si>
  <si>
    <t>Vai trò</t>
  </si>
  <si>
    <t>Ghi chú</t>
  </si>
  <si>
    <t>A</t>
  </si>
  <si>
    <t>Phan Hữu Linh</t>
  </si>
  <si>
    <t>DE191102</t>
  </si>
  <si>
    <t>benphilip11234@gmail.com</t>
  </si>
  <si>
    <t>Trưởng nhóm</t>
  </si>
  <si>
    <t>B</t>
  </si>
  <si>
    <t>Nguyễn Đăng Khang Huy</t>
  </si>
  <si>
    <t>DE190258</t>
  </si>
  <si>
    <t>vietnamnhungchuyendi@gmail.com</t>
  </si>
  <si>
    <t>Thành viên</t>
  </si>
  <si>
    <t>C</t>
  </si>
  <si>
    <t>Kiều Thị Kim Thoa</t>
  </si>
  <si>
    <t>DE190363</t>
  </si>
  <si>
    <t>Thoakieu309@gmail.com</t>
  </si>
  <si>
    <t>D</t>
  </si>
  <si>
    <t>E</t>
  </si>
  <si>
    <t>💡  Mô tả dự án</t>
  </si>
  <si>
    <t>Tên hệ thống</t>
  </si>
  <si>
    <t>Freelancer Job Matching System (FJMS)</t>
  </si>
  <si>
    <t>Mô tả ngắn</t>
  </si>
  <si>
    <t>FJMS là nền tảng kết nối giữa Freelancer và Employer, cho phép đăng dự án, tìm kiếm ứng viên phù hợp, gửi đề xuất (Proposal), quản lý hợp đồng, thanh toán ký quỹ (Escrow), nhắn tin thời gian thực và đánh giá sau khi hoàn thành dự án. Hệ thống tích hợp AI Chatbot hỗ trợ người dùng và sử dụng VNPay để xử lý thanh toán trực tuyến an toàn.</t>
  </si>
  <si>
    <t>Công nghệ sử dụng</t>
  </si>
  <si>
    <t>Frontend: ReactJS, TailwindCSS, Axios, React Router DOM
Backend: NodeJS, ExpressJS, JWT Authentication, Socket.io
Database: Microsoft SQL Server
External Services: VNPay API, Email Service (OTP Verification)</t>
  </si>
  <si>
    <t>Link repo (GitHub/GitLab)</t>
  </si>
  <si>
    <t>https://github.com/SUMMER2026SE/swp391-rbl-project-team_7-1.git</t>
  </si>
  <si>
    <t>Link Jira</t>
  </si>
  <si>
    <t>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</si>
  <si>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</si>
  <si>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</si>
  <si>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</si>
  <si>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</si>
  <si>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</si>
  <si>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</si>
  <si>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</si>
  <si>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</si>
  <si>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</si>
  <si>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</si>
  <si>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</si>
  <si>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</si>
  <si>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2026-06-23</t>
  </si>
  <si>
    <t>Khởi tạo Vite project, cấu hình thư mục dự án và cài đặt bootstrap, router, axios</t>
  </si>
  <si>
    <t>package.json, src/</t>
  </si>
  <si>
    <t>High</t>
  </si>
  <si>
    <t>Tạo dự án React 19 + Vite, thiết lập 5 folder src/components, pages...</t>
  </si>
  <si>
    <t>https://github.com/fudn-traltb-su26/rbl-fer202-theotuan-team-fjms/commit/cc82121</t>
  </si>
  <si>
    <t>Vẽ sơ đồ Component Tree cho dự án FJMS</t>
  </si>
  <si>
    <t>Week01/docs/component-tree.png</t>
  </si>
  <si>
    <t>Medium</t>
  </si>
  <si>
    <t>Thiết lập sơ đồ phân cấp cho các component App, Header, Banner, CategoryList, ProjectGrid, ProjectCard</t>
  </si>
  <si>
    <t>File component-tree.png</t>
  </si>
  <si>
    <t>Viết README.md tài liệu hướng dẫn setup dự án</t>
  </si>
  <si>
    <t>Week01/fjms-frontend/README.md</t>
  </si>
  <si>
    <t>Tạo tài liệu đặc tả các folder và các bước chạy npm install/run dev</t>
  </si>
  <si>
    <t>File README.md</t>
  </si>
  <si>
    <t>📝  BẢNG 2: Nhật ký thay đổi project  (CHANGELOG)</t>
  </si>
  <si>
    <t>Loại (*)</t>
  </si>
  <si>
    <t>Mô tả thay đổi (*)</t>
  </si>
  <si>
    <t>File liên quan</t>
  </si>
  <si>
    <t>Added — Thêm mới</t>
  </si>
  <si>
    <t>Khởi tạo repo git và setup ban đầu dự án ReactJS + Vite</t>
  </si>
  <si>
    <t>Khởi tạo thành công</t>
  </si>
  <si>
    <t>Tích hợp file db.json chứa 8 dự án tuyển dụng và 5 danh mục ngành nghề của FJMS</t>
  </si>
  <si>
    <t>db.json</t>
  </si>
  <si>
    <t>Phục vụ cho việc chạy thử json-server</t>
  </si>
  <si>
    <t>Changed — Cải tiến</t>
  </si>
  <si>
    <t>Đồng bộ hóa các đường dẫn và cập nhật file TODO.md theo cấu trúc 3 thành viên</t>
  </si>
  <si>
    <t>TODO.md</t>
  </si>
  <si>
    <t>Đồng bộ hoàn tất các tuần</t>
  </si>
  <si>
    <t>Fixed — Sửa lỗi</t>
  </si>
  <si>
    <t>Removed — Xóa bỏ</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</si>
  <si>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</si>
  <si>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</si>
  <si>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</si>
  <si>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</si>
  <si>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</si>
  <si>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</si>
  <si>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  (A — Antigravity)</t>
  </si>
  <si>
    <t>Nhờ AI hướng dẫn cách cài đặt và cấu trúc một dự án ReactJS dùng Vite cho môn FER202, có cài thêm Bootstrap, Axios và Router DOM. Chỉ cách chia folder sao cho sạch và dễ quản lý nhóm.</t>
  </si>
  <si>
    <t>Kết quả AI trả về và vấn đề gặp phải:</t>
  </si>
  <si>
    <t>AI nó chỉ các câu lệnh npm cài đặt rất nhanh, và đưa ra cấu trúc thư mục chuẩn. Tuy nhiên, nó bị lỗi thời khi vẫn khuyên dùng Create React App (CRA) dù cái này đã bị deprecated từ lâu. Ngoài ra, nó gợi ý nhét cả Redux và Context cùng lúc ngay từ tuần đầu làm code rất rối và thừa thãi.</t>
  </si>
  <si>
    <t>Nhóm đã chỉnh sửa / sử dụng như thế nào:</t>
  </si>
  <si>
    <t>Nhóm quyết định bỏ qua gợi ý CRA, dùng Vite chạy cho nhẹ. Thư mục src chia thành các folder con: components, pages, hooks, services, context. Chưa tạo folder store/redux vì tuần 1 chưa cần quản lý state phức tạp đến thế.</t>
  </si>
  <si>
    <t>Kiểm chứng (test pass/fail, kết quả đúng không):</t>
  </si>
  <si>
    <t>Chạy thử npm run dev thấy lên trang mặc định của Vite, vào tab Console kiểm tra không thấy báo lỗi đỏ nào.</t>
  </si>
  <si>
    <t>Prompt #2</t>
  </si>
  <si>
    <t>Prompt #3</t>
  </si>
  <si>
    <t>Prompt #4</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</si>
  <si>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</si>
  <si>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</si>
  <si>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</si>
  <si>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</si>
  <si>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Setup dự án Vite, chia folder src, cài bootstrap, router, axios. Viết README.md và vẽ sơ đồ component tree đơn giản.</t>
  </si>
  <si>
    <t>AI đã hỗ trợ như thế nào?</t>
  </si>
  <si>
    <t>Hỏi AI để tham khảo cách chia thư mục và cấu trúc file. Tiết kiệm được thời gian gõ code cấu trúc thô ban đầu.</t>
  </si>
  <si>
    <t>AI sai hoặc thiếu ở đâu? (*)</t>
  </si>
  <si>
    <t>(1) AI vẫn chỉ dùng CRA lỗi thời để tạo dự án. (2) Gợi ý thêm Redux quá sớm làm phức tạp hóa code trong khi tuần 1 chỉ cần khung sườn tĩnh.</t>
  </si>
  <si>
    <t>Khó khăn gặp phải</t>
  </si>
  <si>
    <t>Lúc đầu cài bootstrap bị xung đột version với react-bootstrap mới, phải gỡ ra cài lại bản tương thích.</t>
  </si>
  <si>
    <t>Nếu làm lại, sẽ cải thiện điều gì?</t>
  </si>
  <si>
    <t>Lần sau hỏi AI sẽ chỉ rõ phiên bản React và Bootstrap muốn dùng để tránh nó code bậy bản cũ.</t>
  </si>
  <si>
    <t>Thành viên B — Thành viên</t>
  </si>
  <si>
    <t>💬 Liệt kê cụ thể: tính năng, test case, module, file...</t>
  </si>
  <si>
    <t>💬 Tóm tắt cách dùng AI: tool nào, việc gì, hiệu quả ra sao</t>
  </si>
  <si>
    <t>💬 ⚠️ Bắt buộc ≥ 2 ví dụ cụ thể về điểm AI chưa đúng/đủ</t>
  </si>
  <si>
    <t>💬 Kỹ thuật, nhóm, công cụ, môi trường...</t>
  </si>
  <si>
    <t>💬 Quy trình, cách dùng AI, phân công nhóm...</t>
  </si>
  <si>
    <t>Thành viên C — Thành viên</t>
  </si>
  <si>
    <t>Thành viên D — Thành viên</t>
  </si>
  <si>
    <t>Thành viên E — Thành viên</t>
  </si>
  <si>
    <t>FER202  |  Week 01  |  FPT University — Điền xong nhớ Ctrl+S để lưu!</t>
  </si>
  <si>
    <t>2026-06-24</t>
  </si>
  <si>
    <t>Gemini</t>
  </si>
  <si>
    <t>Tạo giao diện Header.jsx tĩnh cho sàn FJMS</t>
  </si>
  <si>
    <t>src/components/Header.jsx</t>
  </si>
  <si>
    <t>Tạo thanh Navbar với Logo, các link Trang chủ, Tìm việc, Dự án đã lưu, Dashboard và icon giỏ hàng</t>
  </si>
  <si>
    <t>File Header.jsx</t>
  </si>
  <si>
    <t>Tạo giao diện Footer.jsx có năm hiện tại động</t>
  </si>
  <si>
    <t>src/components/Footer.jsx</t>
  </si>
  <si>
    <t>Low</t>
  </si>
  <si>
    <t>Code chân trang với năm bản quyền tự động cập nhật qua new Date().getFullYear()</t>
  </si>
  <si>
    <t>File Footer.jsx</t>
  </si>
  <si>
    <t>Tạo mới components Header.jsx và Footer.jsx tĩnh cho dự án</t>
  </si>
  <si>
    <t>src/components/Header.jsx, src/components/Footer.jsx</t>
  </si>
  <si>
    <t>Header có navbar và footer có năm tự động</t>
  </si>
  <si>
    <t>Thêm CSS cơ bản trong index.css để reset margin/padding và set màu chủ đạo Emerald green cho FJMS</t>
  </si>
  <si>
    <t>src/index.css</t>
  </si>
  <si>
    <t>Style màu thương hiệu</t>
  </si>
  <si>
    <t>Prompt #1  (A — Gemini)</t>
  </si>
  <si>
    <t>Viết giùm code component Header.jsx bằng React 19 hiển thị thanh Navbar. Có logo FJMS Marketplace ở bên trái, giữa là các link trang chủ, tìm việc, dự án đã lưu, dashboard. Bên phải có icon giỏ hàng.</t>
  </si>
  <si>
    <t>AI sinh ra code HTML và CSS inline khá dài dòng. Giao diện nhìn tạm ổn nhưng nó xài thẻ &lt;a&gt; cho các link điều hướng làm trang bị load lại mỗi khi click, mất tính chất Single Page App.</t>
  </si>
  <si>
    <t>Nhóm thay toàn bộ thẻ &lt;a&gt; thành component &lt;Link&gt; và &lt;NavLink&gt; từ thư viện react-router-dom để chuyển trang không bị load lại. Đồng thời dọn bớt đống style inline nhét vào file CSS riêng.</t>
  </si>
  <si>
    <t>Click thử giữa các tab trên Header thấy chuyển trang mượt, không bị xoay vòng tròn load lại trang.</t>
  </si>
  <si>
    <t>Code xong Header.jsx và Footer.jsx tĩnh cho dự án FJMS.</t>
  </si>
  <si>
    <t>AI gen khung HTML và css mẫu cho Header/Footer nhanh, đỡ phải tự gõ từng thẻ.</t>
  </si>
  <si>
    <t>(1) AI sử dụng các thẻ &lt;a&gt; thay vì Link làm app bị reload. (2) AI viết style dạng inline quá dài dòng trong JSX làm file code dài hơn 200 dòng, rất khó bảo trì.</t>
  </si>
  <si>
    <t>Header bị lệch align giữa logo và menu, phải tự căn chỉnh lại flexbox.</t>
  </si>
  <si>
    <t>Nên yêu cầu AI chia nhỏ CSS ra hoặc dùng Tailwind/Bootstrap ngay từ đầu cho sạch.</t>
  </si>
  <si>
    <t>FER202  |  Week 02  |  FPT University — Điền xong nhớ Ctrl+S để lưu!</t>
  </si>
  <si>
    <t>2026-06-25</t>
  </si>
  <si>
    <t>Refactor ProjectCard.jsx để nhận dữ liệu qua props</t>
  </si>
  <si>
    <t>src/components/ProjectCard.jsx</t>
  </si>
  <si>
    <t>Thay đổi dữ liệu hardcode thành các thuộc tính động từ project object (title, budget, category)</t>
  </si>
  <si>
    <t>File ProjectCard.jsx</t>
  </si>
  <si>
    <t>Xử lý sự kiện onSaveProject qua props của ProjectCard</t>
  </si>
  <si>
    <t>Liên kết nút lưu dự án gọi đến callback handler từ component cha</t>
  </si>
  <si>
    <t>Refactor ProjectCard.jsx chuyển đổi từ dữ liệu hardcode sang props động</t>
  </si>
  <si>
    <t>Nhận project object và callback onSaveProject</t>
  </si>
  <si>
    <t>Cập nhật App.jsx để truyền mảng PROJECTS mẫu xuống ProjectGrid làm dữ liệu đầu vào</t>
  </si>
  <si>
    <t>src/App.jsx</t>
  </si>
  <si>
    <t>Test luồng dữ liệu một chiều</t>
  </si>
  <si>
    <t>Refactor component ProjectCard.jsx để nó nhận object project qua props chứ không hardcode nữa. Nút Lưu dự án thì gọi hàm onSaveProject từ component cha truyền xuống. Budget thì format dạng VND.</t>
  </si>
  <si>
    <t>AI viết hàm format tiền VND khá chuẩn bằng Intl.NumberFormat. Nhưng nó quên check điều kiện null của project object. Khi data chưa truyền xuống kịp thì app bị crash màn hình trắng xoá vì lỗi Cannot read properties of undefined.</t>
  </si>
  <si>
    <t>Nhóm sửa lại bằng cách thêm toán tử optional chaining (project?.title, project?.budget) và set một project mặc định nếu props truyền vào bị rỗng.</t>
  </si>
  <si>
    <t>Truyền thử project rỗng vào Card thấy không bị crash app nữa, hiển thị đúng budget định dạng VND.</t>
  </si>
  <si>
    <t>Refactor ProjectCard để truyền nhận props động, định dạng tiền tệ và nhận callback từ component cha.</t>
  </si>
  <si>
    <t>AI hướng dẫn cách viết hàm format VND và destructing props nhanh gọn.</t>
  </si>
  <si>
    <t>(1) AI không sử dụng optional chaining khi truy xuất các thuộc tính của project object dẫn đến lỗi crash. (2) AI gợi ý sai cú pháp hàm callback khi quên không bọc vào arrow function làm nó tự chạy liên tục khi render.</t>
  </si>
  <si>
    <t>Lỗi render vòng lặp vô hạn ở hàm callback của nút Lưu dự án, mất cả buổi chiều để debug.</t>
  </si>
  <si>
    <t>Khi truyền event handler qua props luôn nhớ bọc trong arrow function () =&gt; handler(data).</t>
  </si>
  <si>
    <t>FER202  |  Week 03  |  FPT University — Điền xong nhớ Ctrl+S để lưu!</t>
  </si>
  <si>
    <t>Prompt #1</t>
  </si>
  <si>
    <t>FER202  |  Week 04  |  FPT University — Điền xong nhớ Ctrl+S để lưu!</t>
  </si>
  <si>
    <t>FER202  |  Week 05  |  FPT University — Điền xong nhớ Ctrl+S để lưu!</t>
  </si>
  <si>
    <t>FER202  |  Week 06  |  FPT University — Điền xong nhớ Ctrl+S để lưu!</t>
  </si>
  <si>
    <t>FER202  |  Week 07  |  FPT University — Điền xong nhớ Ctrl+S để lưu!</t>
  </si>
  <si>
    <t>FER202  |  Week 08  |  FPT University — Điền xong nhớ Ctrl+S để lưu!</t>
  </si>
  <si>
    <t>FER202  |  Week 09  |  FPT University — Điền xong nhớ Ctrl+S để lưu!</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</si>
  <si>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</si>
  <si>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</si>
  <si>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</si>
  <si>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</si>
  <si>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</si>
  <si>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</si>
  <si>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</si>
  <si>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</si>
  <si>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</si>
  <si>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</si>
  <si>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Week 01</t>
  </si>
  <si>
    <t>Week 02</t>
  </si>
  <si>
    <t>Week 03</t>
  </si>
  <si>
    <t>Week 04</t>
  </si>
  <si>
    <t>Week 05</t>
  </si>
  <si>
    <t>Week 06</t>
  </si>
  <si>
    <t>Week 07</t>
  </si>
  <si>
    <t>Week 08</t>
  </si>
  <si>
    <t>Week 09</t>
  </si>
  <si>
    <t>Week 10</t>
  </si>
  <si>
    <t>TỔNG</t>
  </si>
  <si>
    <t>📝  Nhận xét tổng kết học kỳ của nhóm</t>
  </si>
  <si>
    <t>Công cụ AI nhóm dùng nhiều nhất:</t>
  </si>
  <si>
    <t>Tuần sử dụng AI hiệu quả nhất và lý do:</t>
  </si>
  <si>
    <t>Điểm hạn chế / rủi ro khi dùng AI trong project:</t>
  </si>
  <si>
    <t>Bài học lớn nhất từ việc dùng AI trong học kỳ này:</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</si>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</sst>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FFFFFF"/>
      <name val="Arial"/>
      <charset val="1"/>
    </font>
    <font>
      <i/>
      <sz val="11"/>
      <color rgb="FFFFFFFF"/>
      <name val="Arial"/>
      <charset val="1"/>
    </font>
    <font>
      <b/>
      <sz val="11"/>
      <color rgb="FFFFFFFF"/>
      <name val="Arial"/>
      <charset val="1"/>
    </font>
    <font>
      <sz val="10"/>
      <color rgb="FF000000"/>
      <name val="Arial"/>
      <charset val="1"/>
    </font>
    <font>
      <b/>
      <sz val="15"/>
      <color rgb="FFFFFFFF"/>
      <name val="Arial"/>
      <charset val="1"/>
    </font>
    <font>
      <b/>
      <sz val="10"/>
      <color rgb="FF000000"/>
      <name val="Arial"/>
      <charset val="1"/>
    </font>
    <font>
      <b/>
      <sz val="14"/>
      <color rgb="FFFFFFFF"/>
      <name val="Arial"/>
      <charset val="1"/>
    </font>
    <font>
      <i/>
      <sz val="9"/>
      <color rgb="FF808080"/>
      <name val="Arial"/>
      <charset val="1"/>
    </font>
    <font>
      <b/>
      <i/>
      <sz val="10"/>
      <color rgb="FF000000"/>
      <name val="Arial"/>
      <charset val="1"/>
    </font>
    <font>
      <i/>
      <sz val="9"/>
      <color rgb="FFFFFFFF"/>
      <name val="Arial"/>
      <charset val="1"/>
    </font>
    <font>
      <b/>
      <sz val="10"/>
      <color rgb="FF000000"/>
      <name val="Arial"/>
      <family val="2"/>
      <charset val="1"/>
    </font>
    <font>
      <u/>
      <sz val="11"/>
      <color theme="10"/>
      <name val="Calibri"/>
      <family val="2"/>
      <charset val="1"/>
    </font>
    <font>
      <sz val="10"/>
      <color rgb="FF000000"/>
      <name val="Arial"/>
      <family val="2"/>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style="thin">
        <color rgb="FFBFBFBF"/>
      </top>
      <bottom style="thin">
        <color rgb="FFBFBFBF"/>
      </bottom>
      <diagonal/>
    </border>
  </borders>
  <cellStyleXfs count="2">
    <xf numFmtId="0" fontId="0" fillId="0" borderId="0"/>
    <xf numFmtId="0" fontId="12" fillId="0" borderId="0"/>
  </cellStyleXfs>
  <cellXfs count="39">
    <xf numFmtId="0" fontId="0" fillId="0" borderId="0" xfId="0"/>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wrapText="1"/>
    </xf>
    <xf numFmtId="0" fontId="4" fillId="0" borderId="1" xfId="0" applyFont="1" applyBorder="1" applyAlignment="1">
      <alignment horizontal="center"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6" fillId="9"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1" xfId="1" applyBorder="1" applyAlignment="1">
      <alignment horizontal="left" vertical="center" wrapText="1"/>
    </xf>
    <xf numFmtId="0" fontId="3" fillId="5" borderId="1" xfId="0" applyFont="1" applyFill="1" applyBorder="1" applyAlignment="1">
      <alignment horizontal="left" vertical="center" wrapText="1"/>
    </xf>
    <xf numFmtId="0" fontId="0" fillId="0" borderId="5" xfId="0" applyBorder="1"/>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0" borderId="3" xfId="0" applyBorder="1"/>
    <xf numFmtId="0" fontId="5"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12" fillId="0" borderId="2" xfId="1" applyBorder="1" applyAlignment="1">
      <alignment horizontal="left" vertical="center" wrapText="1"/>
    </xf>
    <xf numFmtId="0" fontId="8" fillId="0" borderId="1" xfId="0" applyFont="1" applyBorder="1" applyAlignment="1">
      <alignment horizontal="left" vertical="center" wrapText="1"/>
    </xf>
    <xf numFmtId="0" fontId="6" fillId="0" borderId="1" xfId="0" applyFont="1" applyBorder="1" applyAlignment="1">
      <alignment horizontal="left" vertical="center" wrapText="1"/>
    </xf>
    <xf numFmtId="0" fontId="8" fillId="0" borderId="4" xfId="0" applyFont="1" applyBorder="1" applyAlignment="1">
      <alignment horizontal="left" vertical="center" wrapText="1"/>
    </xf>
    <xf numFmtId="0" fontId="0" fillId="0" borderId="0" xfId="0"/>
    <xf numFmtId="0" fontId="4" fillId="0" borderId="1" xfId="0" applyFont="1" applyBorder="1" applyAlignment="1">
      <alignment horizontal="left"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8" fillId="0" borderId="0" xfId="0" applyFont="1" applyAlignment="1">
      <alignment horizontal="left" vertical="center" wrapText="1"/>
    </xf>
    <xf numFmtId="0" fontId="9" fillId="8" borderId="1" xfId="0" applyFont="1" applyFill="1" applyBorder="1" applyAlignment="1">
      <alignment horizontal="left" vertical="center" wrapText="1"/>
    </xf>
    <xf numFmtId="0" fontId="8" fillId="0" borderId="0" xfId="0" applyFont="1" applyAlignment="1">
      <alignment horizontal="center" vertical="center" wrapText="1"/>
    </xf>
    <xf numFmtId="0" fontId="7" fillId="2"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1" fillId="0" borderId="2" xfId="0" applyFont="1" applyBorder="1" applyAlignment="1">
      <alignment horizontal="left" vertical="center" wrapText="1"/>
    </xf>
    <xf numFmtId="0" fontId="13" fillId="0" borderId="1" xfId="0" applyFont="1" applyBorder="1" applyAlignment="1">
      <alignment horizontal="left" vertical="center" wrapText="1"/>
    </xf>
  </cellXfs>
  <cellStyles count="2">
    <cellStyle name="Bình thường" xfId="0" builtinId="0"/>
    <cellStyle name="Siêu kết nối" xfId="1" builtinId="8"/>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Thoakieu309@gmail.com" TargetMode="External"/><Relationship Id="rId2" Type="http://schemas.openxmlformats.org/officeDocument/2006/relationships/hyperlink" Target="mailto:vietnamnhungchuyendi@gmail.com" TargetMode="External"/><Relationship Id="rId1" Type="http://schemas.openxmlformats.org/officeDocument/2006/relationships/hyperlink" Target="mailto:benphilip11234@gmail.com" TargetMode="External"/><Relationship Id="rId4" Type="http://schemas.openxmlformats.org/officeDocument/2006/relationships/hyperlink" Target="https://github.com/SUMMER2026SE/swp391-rbl-project-team_7-1.gi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5"/>
  <sheetViews>
    <sheetView showGridLines="0" zoomScaleNormal="100" workbookViewId="0"/>
  </sheetViews>
  <sheetFormatPr defaultColWidth="8.5703125" defaultRowHeight="15" x14ac:dyDescent="0.25"/>
  <cols>
    <col min="1" max="1" width="3" customWidth="1"/>
    <col min="2" max="2" width="28" customWidth="1"/>
    <col min="3" max="3" width="84.42578125" customWidth="1"/>
  </cols>
  <sheetData>
    <row r="1" spans="2:3" ht="13.5" customHeight="1" x14ac:dyDescent="0.25"/>
    <row r="2" spans="2:3" ht="36" customHeight="1" x14ac:dyDescent="0.25">
      <c r="B2" s="13" t="s">
        <v>0</v>
      </c>
      <c r="C2" s="12"/>
    </row>
    <row r="3" spans="2:3" ht="18" customHeight="1" x14ac:dyDescent="0.25">
      <c r="B3" s="15" t="s">
        <v>1</v>
      </c>
      <c r="C3" s="12"/>
    </row>
    <row r="5" spans="2:3" ht="19.5" customHeight="1" x14ac:dyDescent="0.25">
      <c r="B5" s="16" t="s">
        <v>2</v>
      </c>
      <c r="C5" s="12"/>
    </row>
    <row r="6" spans="2:3" ht="24.75" customHeight="1" x14ac:dyDescent="0.25">
      <c r="B6" s="7" t="s">
        <v>3</v>
      </c>
      <c r="C6" s="7" t="s">
        <v>4</v>
      </c>
    </row>
    <row r="7" spans="2:3" ht="24.75" customHeight="1" x14ac:dyDescent="0.25">
      <c r="B7" s="7" t="s">
        <v>5</v>
      </c>
      <c r="C7" s="7" t="s">
        <v>6</v>
      </c>
    </row>
    <row r="8" spans="2:3" ht="18" customHeight="1" x14ac:dyDescent="0.25">
      <c r="B8" s="7" t="s">
        <v>7</v>
      </c>
      <c r="C8" s="7" t="s">
        <v>8</v>
      </c>
    </row>
    <row r="10" spans="2:3" ht="19.5" customHeight="1" x14ac:dyDescent="0.25">
      <c r="B10" s="17" t="s">
        <v>9</v>
      </c>
      <c r="C10" s="12"/>
    </row>
    <row r="11" spans="2:3" x14ac:dyDescent="0.25">
      <c r="B11" s="7" t="s">
        <v>10</v>
      </c>
      <c r="C11" s="7" t="s">
        <v>11</v>
      </c>
    </row>
    <row r="12" spans="2:3" x14ac:dyDescent="0.25">
      <c r="B12" s="7" t="s">
        <v>12</v>
      </c>
      <c r="C12" s="7" t="s">
        <v>13</v>
      </c>
    </row>
    <row r="13" spans="2:3" ht="18" customHeight="1" x14ac:dyDescent="0.25">
      <c r="B13" s="7" t="s">
        <v>14</v>
      </c>
      <c r="C13" s="7" t="s">
        <v>15</v>
      </c>
    </row>
    <row r="15" spans="2:3" ht="19.5" customHeight="1" x14ac:dyDescent="0.25">
      <c r="B15" s="14" t="s">
        <v>16</v>
      </c>
      <c r="C15" s="12"/>
    </row>
    <row r="16" spans="2:3" ht="24.75" customHeight="1" x14ac:dyDescent="0.25">
      <c r="B16" s="7" t="s">
        <v>17</v>
      </c>
      <c r="C16" s="7" t="s">
        <v>18</v>
      </c>
    </row>
    <row r="17" spans="2:3" ht="24.75" customHeight="1" x14ac:dyDescent="0.25">
      <c r="B17" s="7" t="s">
        <v>19</v>
      </c>
      <c r="C17" s="7" t="s">
        <v>20</v>
      </c>
    </row>
    <row r="18" spans="2:3" ht="24.75" customHeight="1" x14ac:dyDescent="0.25">
      <c r="B18" s="7" t="s">
        <v>21</v>
      </c>
      <c r="C18" s="7" t="s">
        <v>22</v>
      </c>
    </row>
    <row r="19" spans="2:3" ht="24.75" customHeight="1" x14ac:dyDescent="0.25">
      <c r="B19" s="7" t="s">
        <v>23</v>
      </c>
      <c r="C19" s="7" t="s">
        <v>24</v>
      </c>
    </row>
    <row r="21" spans="2:3" ht="19.5" customHeight="1" x14ac:dyDescent="0.25">
      <c r="B21" s="11" t="s">
        <v>25</v>
      </c>
      <c r="C21" s="12"/>
    </row>
    <row r="22" spans="2:3" x14ac:dyDescent="0.25">
      <c r="B22" s="7" t="s">
        <v>26</v>
      </c>
      <c r="C22" s="7" t="s">
        <v>27</v>
      </c>
    </row>
    <row r="23" spans="2:3" ht="24.75" customHeight="1" x14ac:dyDescent="0.25">
      <c r="B23" s="7" t="s">
        <v>28</v>
      </c>
      <c r="C23" s="7" t="s">
        <v>29</v>
      </c>
    </row>
    <row r="24" spans="2:3" ht="18" customHeight="1" x14ac:dyDescent="0.25">
      <c r="B24" s="7" t="s">
        <v>30</v>
      </c>
      <c r="C24" s="7" t="s">
        <v>31</v>
      </c>
    </row>
    <row r="25" spans="2:3" ht="18" customHeight="1" x14ac:dyDescent="0.25">
      <c r="B25" s="7" t="s">
        <v>32</v>
      </c>
      <c r="C25" s="7" t="s">
        <v>33</v>
      </c>
    </row>
  </sheetData>
  <mergeCells count="6">
    <mergeCell ref="B21:C21"/>
    <mergeCell ref="B2:C2"/>
    <mergeCell ref="B15:C15"/>
    <mergeCell ref="B3:C3"/>
    <mergeCell ref="B5:C5"/>
    <mergeCell ref="B10:C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4"/>
  <sheetViews>
    <sheetView showGridLines="0" zoomScaleNormal="100" workbookViewId="0">
      <selection activeCell="H28" sqref="H28"/>
    </sheetView>
  </sheetViews>
  <sheetFormatPr defaultColWidth="8.5703125" defaultRowHeight="15" x14ac:dyDescent="0.25"/>
  <cols>
    <col min="1" max="1" width="3" customWidth="1"/>
    <col min="2" max="2" width="24" customWidth="1"/>
    <col min="3" max="3" width="32.85546875" customWidth="1"/>
    <col min="4" max="4" width="18" customWidth="1"/>
    <col min="5" max="5" width="33.42578125" customWidth="1"/>
    <col min="6" max="6" width="18" customWidth="1"/>
    <col min="7" max="7" width="20" customWidth="1"/>
  </cols>
  <sheetData>
    <row r="1" spans="2:7" ht="13.5" customHeight="1" x14ac:dyDescent="0.25"/>
    <row r="2" spans="2:7" ht="36" customHeight="1" x14ac:dyDescent="0.25">
      <c r="B2" s="19" t="s">
        <v>34</v>
      </c>
      <c r="C2" s="18"/>
      <c r="D2" s="18"/>
      <c r="E2" s="18"/>
      <c r="F2" s="18"/>
      <c r="G2" s="12"/>
    </row>
    <row r="3" spans="2:7" ht="19.5" customHeight="1" x14ac:dyDescent="0.25">
      <c r="B3" s="17" t="s">
        <v>35</v>
      </c>
      <c r="C3" s="18"/>
      <c r="D3" s="18"/>
      <c r="E3" s="18"/>
      <c r="F3" s="18"/>
      <c r="G3" s="12"/>
    </row>
    <row r="4" spans="2:7" ht="18" customHeight="1" x14ac:dyDescent="0.25">
      <c r="B4" s="5" t="s">
        <v>36</v>
      </c>
      <c r="C4" s="20" t="s">
        <v>37</v>
      </c>
      <c r="D4" s="18"/>
      <c r="E4" s="18"/>
      <c r="F4" s="18"/>
      <c r="G4" s="18"/>
    </row>
    <row r="5" spans="2:7" ht="18" customHeight="1" x14ac:dyDescent="0.25">
      <c r="B5" s="5" t="s">
        <v>38</v>
      </c>
      <c r="C5" s="20" t="s">
        <v>39</v>
      </c>
      <c r="D5" s="18"/>
      <c r="E5" s="18"/>
      <c r="F5" s="18"/>
      <c r="G5" s="18"/>
    </row>
    <row r="6" spans="2:7" ht="18" customHeight="1" x14ac:dyDescent="0.25">
      <c r="B6" s="5" t="s">
        <v>40</v>
      </c>
      <c r="C6" s="20" t="s">
        <v>41</v>
      </c>
      <c r="D6" s="18"/>
      <c r="E6" s="18"/>
      <c r="F6" s="18"/>
      <c r="G6" s="18"/>
    </row>
    <row r="7" spans="2:7" ht="18" customHeight="1" x14ac:dyDescent="0.25">
      <c r="B7" s="5" t="s">
        <v>42</v>
      </c>
      <c r="C7" s="20" t="s">
        <v>43</v>
      </c>
      <c r="D7" s="18"/>
      <c r="E7" s="18"/>
      <c r="F7" s="18"/>
      <c r="G7" s="18"/>
    </row>
    <row r="8" spans="2:7" ht="18" customHeight="1" x14ac:dyDescent="0.25">
      <c r="B8" s="5" t="s">
        <v>44</v>
      </c>
      <c r="C8" s="20">
        <v>3</v>
      </c>
      <c r="D8" s="18"/>
      <c r="E8" s="18"/>
      <c r="F8" s="18"/>
      <c r="G8" s="18"/>
    </row>
    <row r="10" spans="2:7" ht="19.5" customHeight="1" x14ac:dyDescent="0.25">
      <c r="B10" s="17" t="s">
        <v>45</v>
      </c>
      <c r="C10" s="18"/>
      <c r="D10" s="18"/>
      <c r="E10" s="18"/>
      <c r="F10" s="18"/>
      <c r="G10" s="12"/>
    </row>
    <row r="11" spans="2:7" x14ac:dyDescent="0.25">
      <c r="B11" s="1" t="s">
        <v>46</v>
      </c>
      <c r="C11" s="1" t="s">
        <v>47</v>
      </c>
      <c r="D11" s="1" t="s">
        <v>48</v>
      </c>
      <c r="E11" s="1" t="s">
        <v>49</v>
      </c>
      <c r="F11" s="1" t="s">
        <v>50</v>
      </c>
      <c r="G11" s="1" t="s">
        <v>51</v>
      </c>
    </row>
    <row r="12" spans="2:7" ht="18" customHeight="1" x14ac:dyDescent="0.25">
      <c r="B12" s="2" t="s">
        <v>52</v>
      </c>
      <c r="C12" s="7" t="s">
        <v>53</v>
      </c>
      <c r="D12" s="7" t="s">
        <v>54</v>
      </c>
      <c r="E12" s="10" t="s">
        <v>55</v>
      </c>
      <c r="F12" s="7" t="s">
        <v>56</v>
      </c>
      <c r="G12" s="7"/>
    </row>
    <row r="13" spans="2:7" ht="18" customHeight="1" x14ac:dyDescent="0.25">
      <c r="B13" s="2" t="s">
        <v>57</v>
      </c>
      <c r="C13" s="7" t="s">
        <v>58</v>
      </c>
      <c r="D13" s="7" t="s">
        <v>59</v>
      </c>
      <c r="E13" s="10" t="s">
        <v>60</v>
      </c>
      <c r="F13" s="7" t="s">
        <v>61</v>
      </c>
      <c r="G13" s="7"/>
    </row>
    <row r="14" spans="2:7" ht="18" customHeight="1" x14ac:dyDescent="0.25">
      <c r="B14" s="2" t="s">
        <v>62</v>
      </c>
      <c r="C14" s="7" t="s">
        <v>63</v>
      </c>
      <c r="D14" s="7" t="s">
        <v>64</v>
      </c>
      <c r="E14" s="10" t="s">
        <v>65</v>
      </c>
      <c r="F14" s="7" t="s">
        <v>61</v>
      </c>
      <c r="G14" s="7"/>
    </row>
    <row r="15" spans="2:7" ht="18" customHeight="1" x14ac:dyDescent="0.25">
      <c r="B15" s="2" t="s">
        <v>66</v>
      </c>
      <c r="C15" s="7"/>
      <c r="D15" s="7"/>
      <c r="E15" s="7"/>
      <c r="F15" s="7" t="s">
        <v>61</v>
      </c>
      <c r="G15" s="7"/>
    </row>
    <row r="16" spans="2:7" ht="18" customHeight="1" x14ac:dyDescent="0.25">
      <c r="B16" s="2" t="s">
        <v>67</v>
      </c>
      <c r="C16" s="7"/>
      <c r="D16" s="7"/>
      <c r="E16" s="7"/>
      <c r="F16" s="7" t="s">
        <v>61</v>
      </c>
      <c r="G16" s="7"/>
    </row>
    <row r="18" spans="2:7" ht="19.5" customHeight="1" x14ac:dyDescent="0.25">
      <c r="B18" s="11" t="s">
        <v>68</v>
      </c>
      <c r="C18" s="18"/>
      <c r="D18" s="18"/>
      <c r="E18" s="18"/>
      <c r="F18" s="18"/>
      <c r="G18" s="12"/>
    </row>
    <row r="19" spans="2:7" ht="19.5" customHeight="1" x14ac:dyDescent="0.25">
      <c r="B19" s="6" t="s">
        <v>69</v>
      </c>
      <c r="C19" s="20" t="s">
        <v>70</v>
      </c>
      <c r="D19" s="18"/>
      <c r="E19" s="18"/>
      <c r="F19" s="18"/>
      <c r="G19" s="18"/>
    </row>
    <row r="20" spans="2:7" ht="57" customHeight="1" x14ac:dyDescent="0.25">
      <c r="B20" s="6" t="s">
        <v>71</v>
      </c>
      <c r="C20" s="20" t="s">
        <v>72</v>
      </c>
      <c r="D20" s="18"/>
      <c r="E20" s="18"/>
      <c r="F20" s="18"/>
      <c r="G20" s="18"/>
    </row>
    <row r="21" spans="2:7" ht="65.25" customHeight="1" x14ac:dyDescent="0.25">
      <c r="B21" s="6" t="s">
        <v>73</v>
      </c>
      <c r="C21" s="20" t="s">
        <v>74</v>
      </c>
      <c r="D21" s="18"/>
      <c r="E21" s="18"/>
      <c r="F21" s="18"/>
      <c r="G21" s="18"/>
    </row>
    <row r="22" spans="2:7" ht="19.5" customHeight="1" x14ac:dyDescent="0.25">
      <c r="B22" s="6" t="s">
        <v>75</v>
      </c>
      <c r="C22" s="21" t="s">
        <v>76</v>
      </c>
      <c r="D22" s="18"/>
      <c r="E22" s="18"/>
      <c r="F22" s="18"/>
      <c r="G22" s="18"/>
    </row>
    <row r="23" spans="2:7" ht="19.5" customHeight="1" x14ac:dyDescent="0.25">
      <c r="B23" s="6" t="s">
        <v>77</v>
      </c>
      <c r="C23" s="5"/>
      <c r="D23" s="3"/>
      <c r="E23" s="3"/>
      <c r="F23" s="3"/>
      <c r="G23" s="3"/>
    </row>
    <row r="24" spans="2:7" ht="19.5" customHeight="1" x14ac:dyDescent="0.25">
      <c r="B24" s="6" t="s">
        <v>78</v>
      </c>
      <c r="C24" s="20"/>
      <c r="D24" s="18"/>
      <c r="E24" s="18"/>
      <c r="F24" s="18"/>
      <c r="G24" s="18"/>
    </row>
  </sheetData>
  <mergeCells count="14">
    <mergeCell ref="C24:G24"/>
    <mergeCell ref="C5:G5"/>
    <mergeCell ref="C19:G19"/>
    <mergeCell ref="B18:G18"/>
    <mergeCell ref="C22:G22"/>
    <mergeCell ref="C8:G8"/>
    <mergeCell ref="B3:G3"/>
    <mergeCell ref="B2:G2"/>
    <mergeCell ref="C21:G21"/>
    <mergeCell ref="C4:G4"/>
    <mergeCell ref="C20:G20"/>
    <mergeCell ref="C7:G7"/>
    <mergeCell ref="B10:G10"/>
    <mergeCell ref="C6:G6"/>
  </mergeCells>
  <hyperlinks>
    <hyperlink ref="E12" r:id="rId1" xr:uid="{00000000-0004-0000-0100-000000000000}"/>
    <hyperlink ref="E13" r:id="rId2" xr:uid="{00000000-0004-0000-0100-000001000000}"/>
    <hyperlink ref="E14" r:id="rId3" xr:uid="{00000000-0004-0000-0100-000002000000}"/>
    <hyperlink ref="C22" r:id="rId4" xr:uid="{00000000-0004-0000-0100-000003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94"/>
  <sheetViews>
    <sheetView showGridLines="0" topLeftCell="A29" zoomScaleNormal="100" workbookViewId="0">
      <selection activeCell="D10" sqref="D10"/>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t="s">
        <v>91</v>
      </c>
      <c r="C8" s="7" t="s">
        <v>52</v>
      </c>
      <c r="D8" s="38" t="s">
        <v>163</v>
      </c>
      <c r="E8" s="7" t="s">
        <v>92</v>
      </c>
      <c r="F8" s="7" t="s">
        <v>93</v>
      </c>
      <c r="G8" s="7" t="s">
        <v>94</v>
      </c>
      <c r="H8" s="7" t="s">
        <v>95</v>
      </c>
      <c r="I8" s="7" t="s">
        <v>96</v>
      </c>
    </row>
    <row r="9" spans="2:9" ht="18" customHeight="1" x14ac:dyDescent="0.25">
      <c r="B9" s="7" t="s">
        <v>91</v>
      </c>
      <c r="C9" s="7" t="s">
        <v>52</v>
      </c>
      <c r="D9" s="38" t="s">
        <v>163</v>
      </c>
      <c r="E9" s="7" t="s">
        <v>97</v>
      </c>
      <c r="F9" s="7" t="s">
        <v>98</v>
      </c>
      <c r="G9" s="7" t="s">
        <v>99</v>
      </c>
      <c r="H9" s="7" t="s">
        <v>100</v>
      </c>
      <c r="I9" s="7" t="s">
        <v>101</v>
      </c>
    </row>
    <row r="10" spans="2:9" ht="18" customHeight="1" x14ac:dyDescent="0.25">
      <c r="B10" s="7" t="s">
        <v>91</v>
      </c>
      <c r="C10" s="7" t="s">
        <v>52</v>
      </c>
      <c r="D10" s="38" t="s">
        <v>245</v>
      </c>
      <c r="E10" s="7" t="s">
        <v>102</v>
      </c>
      <c r="F10" s="7" t="s">
        <v>103</v>
      </c>
      <c r="G10" s="7" t="s">
        <v>99</v>
      </c>
      <c r="H10" s="7" t="s">
        <v>104</v>
      </c>
      <c r="I10" s="7" t="s">
        <v>105</v>
      </c>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t="s">
        <v>52</v>
      </c>
      <c r="D21" s="7" t="s">
        <v>111</v>
      </c>
      <c r="E21" s="7"/>
      <c r="F21" s="7"/>
      <c r="G21" s="7" t="s">
        <v>93</v>
      </c>
      <c r="H21" s="7"/>
      <c r="I21" s="7" t="s">
        <v>112</v>
      </c>
    </row>
    <row r="22" spans="2:9" ht="18" customHeight="1" x14ac:dyDescent="0.25">
      <c r="B22" s="7"/>
      <c r="C22" s="38" t="s">
        <v>57</v>
      </c>
      <c r="D22" s="7" t="s">
        <v>113</v>
      </c>
      <c r="E22" s="7"/>
      <c r="F22" s="7"/>
      <c r="G22" s="7" t="s">
        <v>114</v>
      </c>
      <c r="H22" s="7"/>
      <c r="I22" s="7" t="s">
        <v>115</v>
      </c>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t="s">
        <v>52</v>
      </c>
      <c r="D25" s="7" t="s">
        <v>117</v>
      </c>
      <c r="E25" s="7"/>
      <c r="F25" s="7"/>
      <c r="G25" s="7" t="s">
        <v>118</v>
      </c>
      <c r="H25" s="7"/>
      <c r="I25" s="7" t="s">
        <v>119</v>
      </c>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128</v>
      </c>
      <c r="C40" s="18"/>
      <c r="D40" s="12"/>
      <c r="E40" s="26" t="s">
        <v>129</v>
      </c>
      <c r="F40" s="18"/>
      <c r="G40" s="18"/>
      <c r="H40" s="18"/>
      <c r="I40" s="12"/>
    </row>
    <row r="41" spans="2:9" ht="21.75" customHeight="1" x14ac:dyDescent="0.25">
      <c r="B41" s="22" t="s">
        <v>130</v>
      </c>
      <c r="C41" s="18"/>
      <c r="D41" s="12"/>
      <c r="E41" s="26" t="s">
        <v>131</v>
      </c>
      <c r="F41" s="18"/>
      <c r="G41" s="18"/>
      <c r="H41" s="18"/>
      <c r="I41" s="12"/>
    </row>
    <row r="42" spans="2:9" ht="21.75" customHeight="1" x14ac:dyDescent="0.25">
      <c r="B42" s="22" t="s">
        <v>132</v>
      </c>
      <c r="C42" s="18"/>
      <c r="D42" s="12"/>
      <c r="E42" s="26" t="s">
        <v>133</v>
      </c>
      <c r="F42" s="18"/>
      <c r="G42" s="18"/>
      <c r="H42" s="18"/>
      <c r="I42" s="12"/>
    </row>
    <row r="43" spans="2:9" ht="21.75" customHeight="1" x14ac:dyDescent="0.25">
      <c r="B43" s="22" t="s">
        <v>134</v>
      </c>
      <c r="C43" s="18"/>
      <c r="D43" s="12"/>
      <c r="E43" s="26" t="s">
        <v>135</v>
      </c>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143</v>
      </c>
      <c r="F60" s="25"/>
      <c r="G60" s="25"/>
      <c r="H60" s="25"/>
      <c r="I60" s="25"/>
    </row>
    <row r="61" spans="2:9" ht="18" customHeight="1" x14ac:dyDescent="0.25">
      <c r="B61" s="23" t="s">
        <v>144</v>
      </c>
      <c r="C61" s="18"/>
      <c r="D61" s="12"/>
      <c r="E61" s="24" t="s">
        <v>145</v>
      </c>
      <c r="F61" s="25"/>
      <c r="G61" s="25"/>
      <c r="H61" s="25"/>
      <c r="I61" s="25"/>
    </row>
    <row r="62" spans="2:9" ht="18" customHeight="1" x14ac:dyDescent="0.25">
      <c r="B62" s="23" t="s">
        <v>146</v>
      </c>
      <c r="C62" s="18"/>
      <c r="D62" s="12"/>
      <c r="E62" s="24" t="s">
        <v>147</v>
      </c>
      <c r="F62" s="25"/>
      <c r="G62" s="25"/>
      <c r="H62" s="25"/>
      <c r="I62" s="25"/>
    </row>
    <row r="63" spans="2:9" ht="18" customHeight="1" x14ac:dyDescent="0.25">
      <c r="B63" s="23" t="s">
        <v>148</v>
      </c>
      <c r="C63" s="18"/>
      <c r="D63" s="12"/>
      <c r="E63" s="24" t="s">
        <v>149</v>
      </c>
      <c r="F63" s="25"/>
      <c r="G63" s="25"/>
      <c r="H63" s="25"/>
      <c r="I63" s="25"/>
    </row>
    <row r="64" spans="2:9" ht="18" customHeight="1" x14ac:dyDescent="0.25">
      <c r="B64" s="23" t="s">
        <v>150</v>
      </c>
      <c r="C64" s="18"/>
      <c r="D64" s="12"/>
      <c r="E64" s="24" t="s">
        <v>151</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161</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94"/>
  <sheetViews>
    <sheetView showGridLines="0" zoomScaleNormal="100" workbookViewId="0">
      <selection activeCell="E71" sqref="E71:I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t="s">
        <v>162</v>
      </c>
      <c r="C8" s="7" t="s">
        <v>52</v>
      </c>
      <c r="D8" s="7" t="s">
        <v>163</v>
      </c>
      <c r="E8" s="7" t="s">
        <v>164</v>
      </c>
      <c r="F8" s="7" t="s">
        <v>165</v>
      </c>
      <c r="G8" s="7" t="s">
        <v>99</v>
      </c>
      <c r="H8" s="7" t="s">
        <v>166</v>
      </c>
      <c r="I8" s="7" t="s">
        <v>167</v>
      </c>
    </row>
    <row r="9" spans="2:9" ht="18" customHeight="1" x14ac:dyDescent="0.25">
      <c r="B9" s="7" t="s">
        <v>162</v>
      </c>
      <c r="C9" s="7" t="s">
        <v>52</v>
      </c>
      <c r="D9" s="7" t="s">
        <v>163</v>
      </c>
      <c r="E9" s="7" t="s">
        <v>168</v>
      </c>
      <c r="F9" s="7" t="s">
        <v>169</v>
      </c>
      <c r="G9" s="7" t="s">
        <v>170</v>
      </c>
      <c r="H9" s="7" t="s">
        <v>171</v>
      </c>
      <c r="I9" s="7" t="s">
        <v>172</v>
      </c>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t="s">
        <v>52</v>
      </c>
      <c r="D21" s="7" t="s">
        <v>173</v>
      </c>
      <c r="E21" s="7"/>
      <c r="F21" s="7"/>
      <c r="G21" s="7" t="s">
        <v>174</v>
      </c>
      <c r="H21" s="7"/>
      <c r="I21" s="7" t="s">
        <v>175</v>
      </c>
    </row>
    <row r="22" spans="2:9" ht="18" customHeight="1" x14ac:dyDescent="0.25">
      <c r="B22" s="7"/>
      <c r="C22" s="7" t="s">
        <v>52</v>
      </c>
      <c r="D22" s="7" t="s">
        <v>176</v>
      </c>
      <c r="E22" s="7"/>
      <c r="F22" s="7"/>
      <c r="G22" s="7" t="s">
        <v>177</v>
      </c>
      <c r="H22" s="7"/>
      <c r="I22" s="7" t="s">
        <v>178</v>
      </c>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179</v>
      </c>
      <c r="C40" s="18"/>
      <c r="D40" s="12"/>
      <c r="E40" s="26" t="s">
        <v>180</v>
      </c>
      <c r="F40" s="18"/>
      <c r="G40" s="18"/>
      <c r="H40" s="18"/>
      <c r="I40" s="12"/>
    </row>
    <row r="41" spans="2:9" ht="21.75" customHeight="1" x14ac:dyDescent="0.25">
      <c r="B41" s="22" t="s">
        <v>130</v>
      </c>
      <c r="C41" s="18"/>
      <c r="D41" s="12"/>
      <c r="E41" s="26" t="s">
        <v>181</v>
      </c>
      <c r="F41" s="18"/>
      <c r="G41" s="18"/>
      <c r="H41" s="18"/>
      <c r="I41" s="12"/>
    </row>
    <row r="42" spans="2:9" ht="21.75" customHeight="1" x14ac:dyDescent="0.25">
      <c r="B42" s="22" t="s">
        <v>132</v>
      </c>
      <c r="C42" s="18"/>
      <c r="D42" s="12"/>
      <c r="E42" s="26" t="s">
        <v>182</v>
      </c>
      <c r="F42" s="18"/>
      <c r="G42" s="18"/>
      <c r="H42" s="18"/>
      <c r="I42" s="12"/>
    </row>
    <row r="43" spans="2:9" ht="21.75" customHeight="1" x14ac:dyDescent="0.25">
      <c r="B43" s="22" t="s">
        <v>134</v>
      </c>
      <c r="C43" s="18"/>
      <c r="D43" s="12"/>
      <c r="E43" s="26" t="s">
        <v>183</v>
      </c>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184</v>
      </c>
      <c r="F60" s="25"/>
      <c r="G60" s="25"/>
      <c r="H60" s="25"/>
      <c r="I60" s="25"/>
    </row>
    <row r="61" spans="2:9" ht="18" customHeight="1" x14ac:dyDescent="0.25">
      <c r="B61" s="23" t="s">
        <v>144</v>
      </c>
      <c r="C61" s="18"/>
      <c r="D61" s="12"/>
      <c r="E61" s="24" t="s">
        <v>185</v>
      </c>
      <c r="F61" s="25"/>
      <c r="G61" s="25"/>
      <c r="H61" s="25"/>
      <c r="I61" s="25"/>
    </row>
    <row r="62" spans="2:9" ht="18" customHeight="1" x14ac:dyDescent="0.25">
      <c r="B62" s="23" t="s">
        <v>146</v>
      </c>
      <c r="C62" s="18"/>
      <c r="D62" s="12"/>
      <c r="E62" s="24" t="s">
        <v>186</v>
      </c>
      <c r="F62" s="25"/>
      <c r="G62" s="25"/>
      <c r="H62" s="25"/>
      <c r="I62" s="25"/>
    </row>
    <row r="63" spans="2:9" ht="18" customHeight="1" x14ac:dyDescent="0.25">
      <c r="B63" s="23" t="s">
        <v>148</v>
      </c>
      <c r="C63" s="18"/>
      <c r="D63" s="12"/>
      <c r="E63" s="24" t="s">
        <v>187</v>
      </c>
      <c r="F63" s="25"/>
      <c r="G63" s="25"/>
      <c r="H63" s="25"/>
      <c r="I63" s="25"/>
    </row>
    <row r="64" spans="2:9" ht="18" customHeight="1" x14ac:dyDescent="0.25">
      <c r="B64" s="23" t="s">
        <v>150</v>
      </c>
      <c r="C64" s="18"/>
      <c r="D64" s="12"/>
      <c r="E64" s="24" t="s">
        <v>188</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189</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94"/>
  <sheetViews>
    <sheetView showGridLines="0" tabSelected="1" zoomScaleNormal="100" workbookViewId="0">
      <selection activeCell="D9" sqref="D9"/>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t="s">
        <v>190</v>
      </c>
      <c r="C8" s="7" t="s">
        <v>52</v>
      </c>
      <c r="D8" s="38" t="s">
        <v>163</v>
      </c>
      <c r="E8" s="7" t="s">
        <v>191</v>
      </c>
      <c r="F8" s="7" t="s">
        <v>192</v>
      </c>
      <c r="G8" s="7" t="s">
        <v>99</v>
      </c>
      <c r="H8" s="7" t="s">
        <v>193</v>
      </c>
      <c r="I8" s="7" t="s">
        <v>194</v>
      </c>
    </row>
    <row r="9" spans="2:9" ht="18" customHeight="1" x14ac:dyDescent="0.25">
      <c r="B9" s="7" t="s">
        <v>190</v>
      </c>
      <c r="C9" s="7" t="s">
        <v>52</v>
      </c>
      <c r="D9" s="38" t="s">
        <v>163</v>
      </c>
      <c r="E9" s="7" t="s">
        <v>195</v>
      </c>
      <c r="F9" s="7" t="s">
        <v>192</v>
      </c>
      <c r="G9" s="7" t="s">
        <v>170</v>
      </c>
      <c r="H9" s="7" t="s">
        <v>196</v>
      </c>
      <c r="I9" s="7" t="s">
        <v>194</v>
      </c>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t="s">
        <v>52</v>
      </c>
      <c r="D25" s="7" t="s">
        <v>197</v>
      </c>
      <c r="E25" s="7"/>
      <c r="F25" s="7"/>
      <c r="G25" s="7" t="s">
        <v>192</v>
      </c>
      <c r="H25" s="7"/>
      <c r="I25" s="7" t="s">
        <v>198</v>
      </c>
    </row>
    <row r="26" spans="2:9" ht="18" customHeight="1" x14ac:dyDescent="0.25">
      <c r="B26" s="7"/>
      <c r="C26" s="7" t="s">
        <v>52</v>
      </c>
      <c r="D26" s="7" t="s">
        <v>199</v>
      </c>
      <c r="E26" s="7"/>
      <c r="F26" s="7"/>
      <c r="G26" s="7" t="s">
        <v>200</v>
      </c>
      <c r="H26" s="7"/>
      <c r="I26" s="7" t="s">
        <v>201</v>
      </c>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128</v>
      </c>
      <c r="C40" s="18"/>
      <c r="D40" s="12"/>
      <c r="E40" s="26" t="s">
        <v>202</v>
      </c>
      <c r="F40" s="18"/>
      <c r="G40" s="18"/>
      <c r="H40" s="18"/>
      <c r="I40" s="12"/>
    </row>
    <row r="41" spans="2:9" ht="21.75" customHeight="1" x14ac:dyDescent="0.25">
      <c r="B41" s="22" t="s">
        <v>130</v>
      </c>
      <c r="C41" s="18"/>
      <c r="D41" s="12"/>
      <c r="E41" s="26" t="s">
        <v>203</v>
      </c>
      <c r="F41" s="18"/>
      <c r="G41" s="18"/>
      <c r="H41" s="18"/>
      <c r="I41" s="12"/>
    </row>
    <row r="42" spans="2:9" ht="21.75" customHeight="1" x14ac:dyDescent="0.25">
      <c r="B42" s="22" t="s">
        <v>132</v>
      </c>
      <c r="C42" s="18"/>
      <c r="D42" s="12"/>
      <c r="E42" s="26" t="s">
        <v>204</v>
      </c>
      <c r="F42" s="18"/>
      <c r="G42" s="18"/>
      <c r="H42" s="18"/>
      <c r="I42" s="12"/>
    </row>
    <row r="43" spans="2:9" ht="21.75" customHeight="1" x14ac:dyDescent="0.25">
      <c r="B43" s="22" t="s">
        <v>134</v>
      </c>
      <c r="C43" s="18"/>
      <c r="D43" s="12"/>
      <c r="E43" s="26" t="s">
        <v>205</v>
      </c>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206</v>
      </c>
      <c r="F60" s="25"/>
      <c r="G60" s="25"/>
      <c r="H60" s="25"/>
      <c r="I60" s="25"/>
    </row>
    <row r="61" spans="2:9" ht="18" customHeight="1" x14ac:dyDescent="0.25">
      <c r="B61" s="23" t="s">
        <v>144</v>
      </c>
      <c r="C61" s="18"/>
      <c r="D61" s="12"/>
      <c r="E61" s="24" t="s">
        <v>207</v>
      </c>
      <c r="F61" s="25"/>
      <c r="G61" s="25"/>
      <c r="H61" s="25"/>
      <c r="I61" s="25"/>
    </row>
    <row r="62" spans="2:9" ht="18" customHeight="1" x14ac:dyDescent="0.25">
      <c r="B62" s="23" t="s">
        <v>146</v>
      </c>
      <c r="C62" s="18"/>
      <c r="D62" s="12"/>
      <c r="E62" s="24" t="s">
        <v>208</v>
      </c>
      <c r="F62" s="25"/>
      <c r="G62" s="25"/>
      <c r="H62" s="25"/>
      <c r="I62" s="25"/>
    </row>
    <row r="63" spans="2:9" ht="18" customHeight="1" x14ac:dyDescent="0.25">
      <c r="B63" s="23" t="s">
        <v>148</v>
      </c>
      <c r="C63" s="18"/>
      <c r="D63" s="12"/>
      <c r="E63" s="24" t="s">
        <v>209</v>
      </c>
      <c r="F63" s="25"/>
      <c r="G63" s="25"/>
      <c r="H63" s="25"/>
      <c r="I63" s="25"/>
    </row>
    <row r="64" spans="2:9" ht="18" customHeight="1" x14ac:dyDescent="0.25">
      <c r="B64" s="23" t="s">
        <v>150</v>
      </c>
      <c r="C64" s="18"/>
      <c r="D64" s="12"/>
      <c r="E64" s="24" t="s">
        <v>210</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211</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94"/>
  <sheetViews>
    <sheetView showGridLines="0" topLeftCell="A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213</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94"/>
  <sheetViews>
    <sheetView showGridLines="0" topLeftCell="A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214</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94"/>
  <sheetViews>
    <sheetView showGridLines="0" topLeftCell="A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215</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94"/>
  <sheetViews>
    <sheetView showGridLines="0" topLeftCell="A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216</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94"/>
  <sheetViews>
    <sheetView showGridLines="0" topLeftCell="A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217</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94"/>
  <sheetViews>
    <sheetView showGridLines="0" topLeftCell="E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218</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94"/>
  <sheetViews>
    <sheetView showGridLines="0" topLeftCell="E69" zoomScaleNormal="100" workbookViewId="0">
      <selection activeCell="E71" sqref="E71"/>
    </sheetView>
  </sheetViews>
  <sheetFormatPr defaultColWidth="8.5703125" defaultRowHeight="15" x14ac:dyDescent="0.25"/>
  <cols>
    <col min="1" max="1" width="3" customWidth="1"/>
    <col min="2" max="2" width="12" customWidth="1"/>
    <col min="3" max="3" width="6" customWidth="1"/>
    <col min="4" max="4" width="12.7109375" customWidth="1"/>
    <col min="5" max="5" width="32" customWidth="1"/>
    <col min="6" max="6" width="20" customWidth="1"/>
    <col min="7" max="7" width="12" customWidth="1"/>
    <col min="8" max="8" width="28" customWidth="1"/>
    <col min="9" max="9" width="22" customWidth="1"/>
  </cols>
  <sheetData>
    <row r="1" spans="2:9" ht="13.5" customHeight="1" x14ac:dyDescent="0.25"/>
    <row r="2" spans="2:9" ht="33.75" customHeight="1" x14ac:dyDescent="0.25">
      <c r="B2" s="33" t="s">
        <v>79</v>
      </c>
      <c r="C2" s="18"/>
      <c r="D2" s="18"/>
      <c r="E2" s="18"/>
      <c r="F2" s="18"/>
      <c r="G2" s="18"/>
      <c r="H2" s="18"/>
      <c r="I2" s="12"/>
    </row>
    <row r="3" spans="2:9" ht="15.75" customHeight="1" x14ac:dyDescent="0.25">
      <c r="B3" s="32" t="s">
        <v>80</v>
      </c>
      <c r="C3" s="25"/>
      <c r="D3" s="25"/>
      <c r="E3" s="25"/>
      <c r="F3" s="25"/>
      <c r="G3" s="25"/>
      <c r="H3" s="25"/>
      <c r="I3" s="25"/>
    </row>
    <row r="5" spans="2:9" ht="21.75" customHeight="1" x14ac:dyDescent="0.25">
      <c r="B5" s="17" t="s">
        <v>81</v>
      </c>
      <c r="C5" s="18"/>
      <c r="D5" s="18"/>
      <c r="E5" s="18"/>
      <c r="F5" s="18"/>
      <c r="G5" s="18"/>
      <c r="H5" s="18"/>
      <c r="I5" s="12"/>
    </row>
    <row r="6" spans="2:9" ht="13.5" customHeight="1" x14ac:dyDescent="0.25">
      <c r="B6" s="30" t="s">
        <v>82</v>
      </c>
      <c r="C6" s="25"/>
      <c r="D6" s="25"/>
      <c r="E6" s="25"/>
      <c r="F6" s="25"/>
      <c r="G6" s="25"/>
      <c r="H6" s="25"/>
      <c r="I6" s="25"/>
    </row>
    <row r="7" spans="2:9" ht="19.5" customHeight="1" x14ac:dyDescent="0.25">
      <c r="B7" s="1" t="s">
        <v>83</v>
      </c>
      <c r="C7" s="1" t="s">
        <v>84</v>
      </c>
      <c r="D7" s="1" t="s">
        <v>85</v>
      </c>
      <c r="E7" s="1" t="s">
        <v>86</v>
      </c>
      <c r="F7" s="1" t="s">
        <v>87</v>
      </c>
      <c r="G7" s="1" t="s">
        <v>88</v>
      </c>
      <c r="H7" s="1" t="s">
        <v>89</v>
      </c>
      <c r="I7" s="1" t="s">
        <v>90</v>
      </c>
    </row>
    <row r="8" spans="2:9" ht="18" customHeight="1" x14ac:dyDescent="0.25">
      <c r="B8" s="7"/>
      <c r="C8" s="7"/>
      <c r="D8" s="7"/>
      <c r="E8" s="7"/>
      <c r="F8" s="7"/>
      <c r="G8" s="7"/>
      <c r="H8" s="7"/>
      <c r="I8" s="7"/>
    </row>
    <row r="9" spans="2:9" ht="18" customHeight="1" x14ac:dyDescent="0.25">
      <c r="B9" s="7"/>
      <c r="C9" s="7"/>
      <c r="D9" s="7"/>
      <c r="E9" s="7"/>
      <c r="F9" s="7"/>
      <c r="G9" s="7"/>
      <c r="H9" s="7"/>
      <c r="I9" s="7"/>
    </row>
    <row r="10" spans="2:9" ht="18" customHeight="1" x14ac:dyDescent="0.25">
      <c r="B10" s="7"/>
      <c r="C10" s="7"/>
      <c r="D10" s="7"/>
      <c r="E10" s="7"/>
      <c r="F10" s="7"/>
      <c r="G10" s="7"/>
      <c r="H10" s="7"/>
      <c r="I10" s="7"/>
    </row>
    <row r="11" spans="2:9" ht="18" customHeight="1" x14ac:dyDescent="0.25">
      <c r="B11" s="7"/>
      <c r="C11" s="7"/>
      <c r="D11" s="7"/>
      <c r="E11" s="7"/>
      <c r="F11" s="7"/>
      <c r="G11" s="7"/>
      <c r="H11" s="7"/>
      <c r="I11" s="7"/>
    </row>
    <row r="12" spans="2:9" ht="18" customHeight="1" x14ac:dyDescent="0.25">
      <c r="B12" s="7"/>
      <c r="C12" s="7"/>
      <c r="D12" s="7"/>
      <c r="E12" s="7"/>
      <c r="F12" s="7"/>
      <c r="G12" s="7"/>
      <c r="H12" s="7"/>
      <c r="I12" s="7"/>
    </row>
    <row r="13" spans="2:9" ht="18" customHeight="1" x14ac:dyDescent="0.25">
      <c r="B13" s="7"/>
      <c r="C13" s="7"/>
      <c r="D13" s="7"/>
      <c r="E13" s="7"/>
      <c r="F13" s="7"/>
      <c r="G13" s="7"/>
      <c r="H13" s="7"/>
      <c r="I13" s="7"/>
    </row>
    <row r="14" spans="2:9" ht="18" customHeight="1" x14ac:dyDescent="0.25">
      <c r="B14" s="7"/>
      <c r="C14" s="7"/>
      <c r="D14" s="7"/>
      <c r="E14" s="7"/>
      <c r="F14" s="7"/>
      <c r="G14" s="7"/>
      <c r="H14" s="7"/>
      <c r="I14" s="7"/>
    </row>
    <row r="15" spans="2:9" ht="18" customHeight="1" x14ac:dyDescent="0.25">
      <c r="B15" s="7"/>
      <c r="C15" s="7"/>
      <c r="D15" s="7"/>
      <c r="E15" s="7"/>
      <c r="F15" s="7"/>
      <c r="G15" s="7"/>
      <c r="H15" s="7"/>
      <c r="I15" s="7"/>
    </row>
    <row r="17" spans="2:9" ht="21.75" customHeight="1" x14ac:dyDescent="0.25">
      <c r="B17" s="11" t="s">
        <v>106</v>
      </c>
      <c r="C17" s="18"/>
      <c r="D17" s="18"/>
      <c r="E17" s="18"/>
      <c r="F17" s="18"/>
      <c r="G17" s="18"/>
      <c r="H17" s="18"/>
      <c r="I17" s="12"/>
    </row>
    <row r="18" spans="2:9" ht="13.5" customHeight="1" x14ac:dyDescent="0.25">
      <c r="B18" s="30" t="s">
        <v>31</v>
      </c>
      <c r="C18" s="25"/>
      <c r="D18" s="25"/>
      <c r="E18" s="25"/>
      <c r="F18" s="25"/>
      <c r="G18" s="25"/>
      <c r="H18" s="25"/>
      <c r="I18" s="25"/>
    </row>
    <row r="19" spans="2:9" ht="19.5" customHeight="1" x14ac:dyDescent="0.25">
      <c r="B19" s="9" t="s">
        <v>107</v>
      </c>
      <c r="C19" s="9" t="s">
        <v>84</v>
      </c>
      <c r="D19" s="34" t="s">
        <v>108</v>
      </c>
      <c r="E19" s="18"/>
      <c r="F19" s="12"/>
      <c r="G19" s="34" t="s">
        <v>109</v>
      </c>
      <c r="H19" s="12"/>
      <c r="I19" s="9" t="s">
        <v>51</v>
      </c>
    </row>
    <row r="20" spans="2:9" ht="15.75" customHeight="1" x14ac:dyDescent="0.25">
      <c r="B20" s="31" t="s">
        <v>110</v>
      </c>
      <c r="C20" s="18"/>
      <c r="D20" s="18"/>
      <c r="E20" s="18"/>
      <c r="F20" s="18"/>
      <c r="G20" s="18"/>
      <c r="H20" s="18"/>
      <c r="I20" s="12"/>
    </row>
    <row r="21" spans="2:9" ht="18" customHeight="1" x14ac:dyDescent="0.25">
      <c r="B21" s="7"/>
      <c r="C21" s="7"/>
      <c r="D21" s="7"/>
      <c r="E21" s="7"/>
      <c r="F21" s="7"/>
      <c r="G21" s="7"/>
      <c r="H21" s="7"/>
      <c r="I21" s="7"/>
    </row>
    <row r="22" spans="2:9" ht="18" customHeight="1" x14ac:dyDescent="0.25">
      <c r="B22" s="7"/>
      <c r="C22" s="7"/>
      <c r="D22" s="7"/>
      <c r="E22" s="7"/>
      <c r="F22" s="7"/>
      <c r="G22" s="7"/>
      <c r="H22" s="7"/>
      <c r="I22" s="7"/>
    </row>
    <row r="23" spans="2:9" ht="18" customHeight="1" x14ac:dyDescent="0.25">
      <c r="B23" s="7"/>
      <c r="C23" s="7"/>
      <c r="D23" s="7"/>
      <c r="E23" s="7"/>
      <c r="F23" s="7"/>
      <c r="G23" s="7"/>
      <c r="H23" s="7"/>
      <c r="I23" s="7"/>
    </row>
    <row r="24" spans="2:9" ht="15.75" customHeight="1" x14ac:dyDescent="0.25">
      <c r="B24" s="31" t="s">
        <v>116</v>
      </c>
      <c r="C24" s="18"/>
      <c r="D24" s="18"/>
      <c r="E24" s="18"/>
      <c r="F24" s="18"/>
      <c r="G24" s="18"/>
      <c r="H24" s="18"/>
      <c r="I24" s="12"/>
    </row>
    <row r="25" spans="2:9" ht="18" customHeight="1" x14ac:dyDescent="0.25">
      <c r="B25" s="7"/>
      <c r="C25" s="7"/>
      <c r="D25" s="7"/>
      <c r="E25" s="7"/>
      <c r="F25" s="7"/>
      <c r="G25" s="7"/>
      <c r="H25" s="7"/>
      <c r="I25" s="7"/>
    </row>
    <row r="26" spans="2:9" ht="18" customHeight="1" x14ac:dyDescent="0.25">
      <c r="B26" s="7"/>
      <c r="C26" s="7"/>
      <c r="D26" s="7"/>
      <c r="E26" s="7"/>
      <c r="F26" s="7"/>
      <c r="G26" s="7"/>
      <c r="H26" s="7"/>
      <c r="I26" s="7"/>
    </row>
    <row r="27" spans="2:9" ht="18" customHeight="1" x14ac:dyDescent="0.25">
      <c r="B27" s="7"/>
      <c r="C27" s="7"/>
      <c r="D27" s="7"/>
      <c r="E27" s="7"/>
      <c r="F27" s="7"/>
      <c r="G27" s="7"/>
      <c r="H27" s="7"/>
      <c r="I27" s="7"/>
    </row>
    <row r="28" spans="2:9" ht="15.75" customHeight="1" x14ac:dyDescent="0.25">
      <c r="B28" s="31" t="s">
        <v>120</v>
      </c>
      <c r="C28" s="18"/>
      <c r="D28" s="18"/>
      <c r="E28" s="18"/>
      <c r="F28" s="18"/>
      <c r="G28" s="18"/>
      <c r="H28" s="18"/>
      <c r="I28" s="12"/>
    </row>
    <row r="29" spans="2:9" ht="18" customHeight="1" x14ac:dyDescent="0.25">
      <c r="B29" s="7"/>
      <c r="C29" s="7"/>
      <c r="D29" s="7"/>
      <c r="E29" s="7"/>
      <c r="F29" s="7"/>
      <c r="G29" s="7"/>
      <c r="H29" s="7"/>
      <c r="I29" s="7"/>
    </row>
    <row r="30" spans="2:9" ht="18" customHeight="1" x14ac:dyDescent="0.25">
      <c r="B30" s="7"/>
      <c r="C30" s="7"/>
      <c r="D30" s="7"/>
      <c r="E30" s="7"/>
      <c r="F30" s="7"/>
      <c r="G30" s="7"/>
      <c r="H30" s="7"/>
      <c r="I30" s="7"/>
    </row>
    <row r="31" spans="2:9" ht="18" customHeight="1" x14ac:dyDescent="0.25">
      <c r="B31" s="7"/>
      <c r="C31" s="7"/>
      <c r="D31" s="7"/>
      <c r="E31" s="7"/>
      <c r="F31" s="7"/>
      <c r="G31" s="7"/>
      <c r="H31" s="7"/>
      <c r="I31" s="7"/>
    </row>
    <row r="32" spans="2:9" ht="15.75" customHeight="1" x14ac:dyDescent="0.25">
      <c r="B32" s="31" t="s">
        <v>121</v>
      </c>
      <c r="C32" s="18"/>
      <c r="D32" s="18"/>
      <c r="E32" s="18"/>
      <c r="F32" s="18"/>
      <c r="G32" s="18"/>
      <c r="H32" s="18"/>
      <c r="I32" s="12"/>
    </row>
    <row r="33" spans="2:9" ht="18" customHeight="1" x14ac:dyDescent="0.25">
      <c r="B33" s="7"/>
      <c r="C33" s="7"/>
      <c r="D33" s="7"/>
      <c r="E33" s="7"/>
      <c r="F33" s="7"/>
      <c r="G33" s="7"/>
      <c r="H33" s="7"/>
      <c r="I33" s="7"/>
    </row>
    <row r="34" spans="2:9" ht="18" customHeight="1" x14ac:dyDescent="0.25">
      <c r="B34" s="7"/>
      <c r="C34" s="7"/>
      <c r="D34" s="7"/>
      <c r="E34" s="7"/>
      <c r="F34" s="7"/>
      <c r="G34" s="7"/>
      <c r="H34" s="7"/>
      <c r="I34" s="7"/>
    </row>
    <row r="35" spans="2:9" ht="18" customHeight="1" x14ac:dyDescent="0.25">
      <c r="B35" s="7"/>
      <c r="C35" s="7"/>
      <c r="D35" s="7"/>
      <c r="E35" s="7"/>
      <c r="F35" s="7"/>
      <c r="G35" s="7"/>
      <c r="H35" s="7"/>
      <c r="I35" s="7"/>
    </row>
    <row r="37" spans="2:9" ht="21.75" customHeight="1" x14ac:dyDescent="0.25">
      <c r="B37" s="14" t="s">
        <v>122</v>
      </c>
      <c r="C37" s="18"/>
      <c r="D37" s="18"/>
      <c r="E37" s="18"/>
      <c r="F37" s="18"/>
      <c r="G37" s="18"/>
      <c r="H37" s="18"/>
      <c r="I37" s="12"/>
    </row>
    <row r="38" spans="2:9" ht="13.5" customHeight="1" x14ac:dyDescent="0.25">
      <c r="B38" s="30" t="s">
        <v>123</v>
      </c>
      <c r="C38" s="25"/>
      <c r="D38" s="25"/>
      <c r="E38" s="25"/>
      <c r="F38" s="25"/>
      <c r="G38" s="25"/>
      <c r="H38" s="25"/>
      <c r="I38" s="25"/>
    </row>
    <row r="39" spans="2:9" ht="19.5" customHeight="1" x14ac:dyDescent="0.25">
      <c r="B39" s="8" t="s">
        <v>124</v>
      </c>
      <c r="C39" s="8" t="s">
        <v>125</v>
      </c>
      <c r="D39" s="8" t="s">
        <v>126</v>
      </c>
      <c r="E39" s="28" t="s">
        <v>127</v>
      </c>
      <c r="F39" s="18"/>
      <c r="G39" s="18"/>
      <c r="H39" s="18"/>
      <c r="I39" s="12"/>
    </row>
    <row r="40" spans="2:9" ht="21.75" customHeight="1" x14ac:dyDescent="0.25">
      <c r="B40" s="27" t="s">
        <v>212</v>
      </c>
      <c r="C40" s="18"/>
      <c r="D40" s="12"/>
      <c r="E40" s="26"/>
      <c r="F40" s="18"/>
      <c r="G40" s="18"/>
      <c r="H40" s="18"/>
      <c r="I40" s="12"/>
    </row>
    <row r="41" spans="2:9" ht="21.75" customHeight="1" x14ac:dyDescent="0.25">
      <c r="B41" s="22" t="s">
        <v>130</v>
      </c>
      <c r="C41" s="18"/>
      <c r="D41" s="12"/>
      <c r="E41" s="26"/>
      <c r="F41" s="18"/>
      <c r="G41" s="18"/>
      <c r="H41" s="18"/>
      <c r="I41" s="12"/>
    </row>
    <row r="42" spans="2:9" ht="21.75" customHeight="1" x14ac:dyDescent="0.25">
      <c r="B42" s="22" t="s">
        <v>132</v>
      </c>
      <c r="C42" s="18"/>
      <c r="D42" s="12"/>
      <c r="E42" s="26"/>
      <c r="F42" s="18"/>
      <c r="G42" s="18"/>
      <c r="H42" s="18"/>
      <c r="I42" s="12"/>
    </row>
    <row r="43" spans="2:9" ht="21.75" customHeight="1" x14ac:dyDescent="0.25">
      <c r="B43" s="22" t="s">
        <v>134</v>
      </c>
      <c r="C43" s="18"/>
      <c r="D43" s="12"/>
      <c r="E43" s="26"/>
      <c r="F43" s="18"/>
      <c r="G43" s="18"/>
      <c r="H43" s="18"/>
      <c r="I43" s="12"/>
    </row>
    <row r="44" spans="2:9" ht="21.75" customHeight="1" x14ac:dyDescent="0.25">
      <c r="B44" s="27" t="s">
        <v>136</v>
      </c>
      <c r="C44" s="18"/>
      <c r="D44" s="12"/>
      <c r="E44" s="26"/>
      <c r="F44" s="18"/>
      <c r="G44" s="18"/>
      <c r="H44" s="18"/>
      <c r="I44" s="12"/>
    </row>
    <row r="45" spans="2:9" ht="21.75" customHeight="1" x14ac:dyDescent="0.25">
      <c r="B45" s="22" t="s">
        <v>130</v>
      </c>
      <c r="C45" s="18"/>
      <c r="D45" s="12"/>
      <c r="E45" s="26"/>
      <c r="F45" s="18"/>
      <c r="G45" s="18"/>
      <c r="H45" s="18"/>
      <c r="I45" s="12"/>
    </row>
    <row r="46" spans="2:9" ht="21.75" customHeight="1" x14ac:dyDescent="0.25">
      <c r="B46" s="22" t="s">
        <v>132</v>
      </c>
      <c r="C46" s="18"/>
      <c r="D46" s="12"/>
      <c r="E46" s="26"/>
      <c r="F46" s="18"/>
      <c r="G46" s="18"/>
      <c r="H46" s="18"/>
      <c r="I46" s="12"/>
    </row>
    <row r="47" spans="2:9" ht="21.75" customHeight="1" x14ac:dyDescent="0.25">
      <c r="B47" s="22" t="s">
        <v>134</v>
      </c>
      <c r="C47" s="18"/>
      <c r="D47" s="12"/>
      <c r="E47" s="26"/>
      <c r="F47" s="18"/>
      <c r="G47" s="18"/>
      <c r="H47" s="18"/>
      <c r="I47" s="12"/>
    </row>
    <row r="48" spans="2:9" ht="21.75" customHeight="1" x14ac:dyDescent="0.25">
      <c r="B48" s="27" t="s">
        <v>137</v>
      </c>
      <c r="C48" s="18"/>
      <c r="D48" s="12"/>
      <c r="E48" s="26"/>
      <c r="F48" s="18"/>
      <c r="G48" s="18"/>
      <c r="H48" s="18"/>
      <c r="I48" s="12"/>
    </row>
    <row r="49" spans="2:9" ht="21.75" customHeight="1" x14ac:dyDescent="0.25">
      <c r="B49" s="22" t="s">
        <v>130</v>
      </c>
      <c r="C49" s="18"/>
      <c r="D49" s="12"/>
      <c r="E49" s="26"/>
      <c r="F49" s="18"/>
      <c r="G49" s="18"/>
      <c r="H49" s="18"/>
      <c r="I49" s="12"/>
    </row>
    <row r="50" spans="2:9" ht="21.75" customHeight="1" x14ac:dyDescent="0.25">
      <c r="B50" s="22" t="s">
        <v>132</v>
      </c>
      <c r="C50" s="18"/>
      <c r="D50" s="12"/>
      <c r="E50" s="26"/>
      <c r="F50" s="18"/>
      <c r="G50" s="18"/>
      <c r="H50" s="18"/>
      <c r="I50" s="12"/>
    </row>
    <row r="51" spans="2:9" ht="21.75" customHeight="1" x14ac:dyDescent="0.25">
      <c r="B51" s="22" t="s">
        <v>134</v>
      </c>
      <c r="C51" s="18"/>
      <c r="D51" s="12"/>
      <c r="E51" s="26"/>
      <c r="F51" s="18"/>
      <c r="G51" s="18"/>
      <c r="H51" s="18"/>
      <c r="I51" s="12"/>
    </row>
    <row r="52" spans="2:9" ht="21.75" customHeight="1" x14ac:dyDescent="0.25">
      <c r="B52" s="27" t="s">
        <v>138</v>
      </c>
      <c r="C52" s="18"/>
      <c r="D52" s="12"/>
      <c r="E52" s="26"/>
      <c r="F52" s="18"/>
      <c r="G52" s="18"/>
      <c r="H52" s="18"/>
      <c r="I52" s="12"/>
    </row>
    <row r="53" spans="2:9" ht="21.75" customHeight="1" x14ac:dyDescent="0.25">
      <c r="B53" s="22" t="s">
        <v>130</v>
      </c>
      <c r="C53" s="18"/>
      <c r="D53" s="12"/>
      <c r="E53" s="26"/>
      <c r="F53" s="18"/>
      <c r="G53" s="18"/>
      <c r="H53" s="18"/>
      <c r="I53" s="12"/>
    </row>
    <row r="54" spans="2:9" ht="21.75" customHeight="1" x14ac:dyDescent="0.25">
      <c r="B54" s="22" t="s">
        <v>132</v>
      </c>
      <c r="C54" s="18"/>
      <c r="D54" s="12"/>
      <c r="E54" s="26"/>
      <c r="F54" s="18"/>
      <c r="G54" s="18"/>
      <c r="H54" s="18"/>
      <c r="I54" s="12"/>
    </row>
    <row r="55" spans="2:9" ht="21.75" customHeight="1" x14ac:dyDescent="0.25">
      <c r="B55" s="22" t="s">
        <v>134</v>
      </c>
      <c r="C55" s="18"/>
      <c r="D55" s="12"/>
      <c r="E55" s="26"/>
      <c r="F55" s="18"/>
      <c r="G55" s="18"/>
      <c r="H55" s="18"/>
      <c r="I55" s="12"/>
    </row>
    <row r="56" spans="2:9" x14ac:dyDescent="0.25">
      <c r="E56" s="26"/>
      <c r="F56" s="18"/>
      <c r="G56" s="18"/>
      <c r="H56" s="18"/>
      <c r="I56" s="12"/>
    </row>
    <row r="57" spans="2:9" ht="21.75" customHeight="1" x14ac:dyDescent="0.25">
      <c r="B57" s="35" t="s">
        <v>139</v>
      </c>
      <c r="C57" s="18"/>
      <c r="D57" s="18"/>
      <c r="E57" s="18"/>
      <c r="F57" s="18"/>
      <c r="G57" s="18"/>
      <c r="H57" s="18"/>
      <c r="I57" s="12"/>
    </row>
    <row r="58" spans="2:9" ht="13.5" customHeight="1" x14ac:dyDescent="0.25">
      <c r="B58" s="30" t="s">
        <v>140</v>
      </c>
      <c r="C58" s="25"/>
      <c r="D58" s="25"/>
      <c r="E58" s="25"/>
      <c r="F58" s="25"/>
      <c r="G58" s="25"/>
      <c r="H58" s="25"/>
      <c r="I58" s="25"/>
    </row>
    <row r="59" spans="2:9" ht="18" customHeight="1" x14ac:dyDescent="0.25">
      <c r="B59" s="29" t="s">
        <v>141</v>
      </c>
      <c r="C59" s="18"/>
      <c r="D59" s="18"/>
      <c r="E59" s="18"/>
      <c r="F59" s="18"/>
      <c r="G59" s="18"/>
      <c r="H59" s="18"/>
      <c r="I59" s="12"/>
    </row>
    <row r="60" spans="2:9" ht="18" customHeight="1" x14ac:dyDescent="0.25">
      <c r="B60" s="23" t="s">
        <v>142</v>
      </c>
      <c r="C60" s="18"/>
      <c r="D60" s="12"/>
      <c r="E60" s="24" t="s">
        <v>153</v>
      </c>
      <c r="F60" s="25"/>
      <c r="G60" s="25"/>
      <c r="H60" s="25"/>
      <c r="I60" s="25"/>
    </row>
    <row r="61" spans="2:9" ht="18" customHeight="1" x14ac:dyDescent="0.25">
      <c r="B61" s="23" t="s">
        <v>144</v>
      </c>
      <c r="C61" s="18"/>
      <c r="D61" s="12"/>
      <c r="E61" s="24" t="s">
        <v>154</v>
      </c>
      <c r="F61" s="25"/>
      <c r="G61" s="25"/>
      <c r="H61" s="25"/>
      <c r="I61" s="25"/>
    </row>
    <row r="62" spans="2:9" ht="18" customHeight="1" x14ac:dyDescent="0.25">
      <c r="B62" s="23" t="s">
        <v>146</v>
      </c>
      <c r="C62" s="18"/>
      <c r="D62" s="12"/>
      <c r="E62" s="24" t="s">
        <v>155</v>
      </c>
      <c r="F62" s="25"/>
      <c r="G62" s="25"/>
      <c r="H62" s="25"/>
      <c r="I62" s="25"/>
    </row>
    <row r="63" spans="2:9" ht="18" customHeight="1" x14ac:dyDescent="0.25">
      <c r="B63" s="23" t="s">
        <v>148</v>
      </c>
      <c r="C63" s="18"/>
      <c r="D63" s="12"/>
      <c r="E63" s="24" t="s">
        <v>156</v>
      </c>
      <c r="F63" s="25"/>
      <c r="G63" s="25"/>
      <c r="H63" s="25"/>
      <c r="I63" s="25"/>
    </row>
    <row r="64" spans="2:9" ht="18" customHeight="1" x14ac:dyDescent="0.25">
      <c r="B64" s="23" t="s">
        <v>150</v>
      </c>
      <c r="C64" s="18"/>
      <c r="D64" s="12"/>
      <c r="E64" s="24" t="s">
        <v>157</v>
      </c>
      <c r="F64" s="25"/>
      <c r="G64" s="25"/>
      <c r="H64" s="25"/>
      <c r="I64" s="25"/>
    </row>
    <row r="66" spans="2:9" ht="18" customHeight="1" x14ac:dyDescent="0.25">
      <c r="B66" s="29" t="s">
        <v>152</v>
      </c>
      <c r="C66" s="18"/>
      <c r="D66" s="18"/>
      <c r="E66" s="18"/>
      <c r="F66" s="18"/>
      <c r="G66" s="18"/>
      <c r="H66" s="18"/>
      <c r="I66" s="12"/>
    </row>
    <row r="67" spans="2:9" ht="18" customHeight="1" x14ac:dyDescent="0.25">
      <c r="B67" s="23" t="s">
        <v>142</v>
      </c>
      <c r="C67" s="18"/>
      <c r="D67" s="12"/>
      <c r="E67" s="24" t="s">
        <v>153</v>
      </c>
      <c r="F67" s="25"/>
      <c r="G67" s="25"/>
      <c r="H67" s="25"/>
      <c r="I67" s="25"/>
    </row>
    <row r="68" spans="2:9" ht="18" customHeight="1" x14ac:dyDescent="0.25">
      <c r="B68" s="23" t="s">
        <v>144</v>
      </c>
      <c r="C68" s="18"/>
      <c r="D68" s="12"/>
      <c r="E68" s="24" t="s">
        <v>154</v>
      </c>
      <c r="F68" s="25"/>
      <c r="G68" s="25"/>
      <c r="H68" s="25"/>
      <c r="I68" s="25"/>
    </row>
    <row r="69" spans="2:9" ht="18" customHeight="1" x14ac:dyDescent="0.25">
      <c r="B69" s="23" t="s">
        <v>146</v>
      </c>
      <c r="C69" s="18"/>
      <c r="D69" s="12"/>
      <c r="E69" s="24" t="s">
        <v>155</v>
      </c>
      <c r="F69" s="25"/>
      <c r="G69" s="25"/>
      <c r="H69" s="25"/>
      <c r="I69" s="25"/>
    </row>
    <row r="70" spans="2:9" ht="18" customHeight="1" x14ac:dyDescent="0.25">
      <c r="B70" s="23" t="s">
        <v>148</v>
      </c>
      <c r="C70" s="18"/>
      <c r="D70" s="12"/>
      <c r="E70" s="24" t="s">
        <v>156</v>
      </c>
      <c r="F70" s="25"/>
      <c r="G70" s="25"/>
      <c r="H70" s="25"/>
      <c r="I70" s="25"/>
    </row>
    <row r="71" spans="2:9" ht="18" customHeight="1" x14ac:dyDescent="0.25">
      <c r="B71" s="23" t="s">
        <v>150</v>
      </c>
      <c r="C71" s="18"/>
      <c r="D71" s="12"/>
      <c r="E71" s="24" t="s">
        <v>157</v>
      </c>
      <c r="F71" s="25"/>
      <c r="G71" s="25"/>
      <c r="H71" s="25"/>
      <c r="I71" s="25"/>
    </row>
    <row r="73" spans="2:9" ht="18" customHeight="1" x14ac:dyDescent="0.25">
      <c r="B73" s="29" t="s">
        <v>158</v>
      </c>
      <c r="C73" s="18"/>
      <c r="D73" s="18"/>
      <c r="E73" s="18"/>
      <c r="F73" s="18"/>
      <c r="G73" s="18"/>
      <c r="H73" s="18"/>
      <c r="I73" s="12"/>
    </row>
    <row r="74" spans="2:9" ht="18" customHeight="1" x14ac:dyDescent="0.25">
      <c r="B74" s="23" t="s">
        <v>142</v>
      </c>
      <c r="C74" s="18"/>
      <c r="D74" s="12"/>
      <c r="E74" s="22" t="s">
        <v>153</v>
      </c>
      <c r="F74" s="18"/>
      <c r="G74" s="18"/>
      <c r="H74" s="18"/>
      <c r="I74" s="12"/>
    </row>
    <row r="75" spans="2:9" ht="18" customHeight="1" x14ac:dyDescent="0.25">
      <c r="B75" s="23" t="s">
        <v>144</v>
      </c>
      <c r="C75" s="18"/>
      <c r="D75" s="12"/>
      <c r="E75" s="22" t="s">
        <v>154</v>
      </c>
      <c r="F75" s="18"/>
      <c r="G75" s="18"/>
      <c r="H75" s="18"/>
      <c r="I75" s="12"/>
    </row>
    <row r="76" spans="2:9" ht="18" customHeight="1" x14ac:dyDescent="0.25">
      <c r="B76" s="23" t="s">
        <v>146</v>
      </c>
      <c r="C76" s="18"/>
      <c r="D76" s="12"/>
      <c r="E76" s="22" t="s">
        <v>155</v>
      </c>
      <c r="F76" s="18"/>
      <c r="G76" s="18"/>
      <c r="H76" s="18"/>
      <c r="I76" s="12"/>
    </row>
    <row r="77" spans="2:9" ht="18" customHeight="1" x14ac:dyDescent="0.25">
      <c r="B77" s="23" t="s">
        <v>148</v>
      </c>
      <c r="C77" s="18"/>
      <c r="D77" s="12"/>
      <c r="E77" s="22" t="s">
        <v>156</v>
      </c>
      <c r="F77" s="18"/>
      <c r="G77" s="18"/>
      <c r="H77" s="18"/>
      <c r="I77" s="12"/>
    </row>
    <row r="78" spans="2:9" ht="18" customHeight="1" x14ac:dyDescent="0.25">
      <c r="B78" s="23" t="s">
        <v>150</v>
      </c>
      <c r="C78" s="18"/>
      <c r="D78" s="12"/>
      <c r="E78" s="22" t="s">
        <v>157</v>
      </c>
      <c r="F78" s="18"/>
      <c r="G78" s="18"/>
      <c r="H78" s="18"/>
      <c r="I78" s="12"/>
    </row>
    <row r="80" spans="2:9" ht="18" customHeight="1" x14ac:dyDescent="0.25">
      <c r="B80" s="29" t="s">
        <v>159</v>
      </c>
      <c r="C80" s="18"/>
      <c r="D80" s="18"/>
      <c r="E80" s="18"/>
      <c r="F80" s="18"/>
      <c r="G80" s="18"/>
      <c r="H80" s="18"/>
      <c r="I80" s="12"/>
    </row>
    <row r="81" spans="2:9" ht="18" customHeight="1" x14ac:dyDescent="0.25">
      <c r="B81" s="23" t="s">
        <v>142</v>
      </c>
      <c r="C81" s="18"/>
      <c r="D81" s="12"/>
      <c r="E81" s="22" t="s">
        <v>153</v>
      </c>
      <c r="F81" s="18"/>
      <c r="G81" s="18"/>
      <c r="H81" s="18"/>
      <c r="I81" s="12"/>
    </row>
    <row r="82" spans="2:9" ht="18" customHeight="1" x14ac:dyDescent="0.25">
      <c r="B82" s="23" t="s">
        <v>144</v>
      </c>
      <c r="C82" s="18"/>
      <c r="D82" s="12"/>
      <c r="E82" s="22" t="s">
        <v>154</v>
      </c>
      <c r="F82" s="18"/>
      <c r="G82" s="18"/>
      <c r="H82" s="18"/>
      <c r="I82" s="12"/>
    </row>
    <row r="83" spans="2:9" ht="18" customHeight="1" x14ac:dyDescent="0.25">
      <c r="B83" s="23" t="s">
        <v>146</v>
      </c>
      <c r="C83" s="18"/>
      <c r="D83" s="12"/>
      <c r="E83" s="22" t="s">
        <v>155</v>
      </c>
      <c r="F83" s="18"/>
      <c r="G83" s="18"/>
      <c r="H83" s="18"/>
      <c r="I83" s="12"/>
    </row>
    <row r="84" spans="2:9" ht="18" customHeight="1" x14ac:dyDescent="0.25">
      <c r="B84" s="23" t="s">
        <v>148</v>
      </c>
      <c r="C84" s="18"/>
      <c r="D84" s="12"/>
      <c r="E84" s="22" t="s">
        <v>156</v>
      </c>
      <c r="F84" s="18"/>
      <c r="G84" s="18"/>
      <c r="H84" s="18"/>
      <c r="I84" s="12"/>
    </row>
    <row r="85" spans="2:9" ht="18" customHeight="1" x14ac:dyDescent="0.25">
      <c r="B85" s="23" t="s">
        <v>150</v>
      </c>
      <c r="C85" s="18"/>
      <c r="D85" s="12"/>
      <c r="E85" s="22" t="s">
        <v>157</v>
      </c>
      <c r="F85" s="18"/>
      <c r="G85" s="18"/>
      <c r="H85" s="18"/>
      <c r="I85" s="12"/>
    </row>
    <row r="87" spans="2:9" ht="18" customHeight="1" x14ac:dyDescent="0.25">
      <c r="B87" s="29" t="s">
        <v>160</v>
      </c>
      <c r="C87" s="18"/>
      <c r="D87" s="18"/>
      <c r="E87" s="18"/>
      <c r="F87" s="18"/>
      <c r="G87" s="18"/>
      <c r="H87" s="18"/>
      <c r="I87" s="12"/>
    </row>
    <row r="88" spans="2:9" ht="18" customHeight="1" x14ac:dyDescent="0.25">
      <c r="B88" s="23" t="s">
        <v>142</v>
      </c>
      <c r="C88" s="18"/>
      <c r="D88" s="12"/>
      <c r="E88" s="22" t="s">
        <v>153</v>
      </c>
      <c r="F88" s="18"/>
      <c r="G88" s="18"/>
      <c r="H88" s="18"/>
      <c r="I88" s="12"/>
    </row>
    <row r="89" spans="2:9" ht="18" customHeight="1" x14ac:dyDescent="0.25">
      <c r="B89" s="23" t="s">
        <v>144</v>
      </c>
      <c r="C89" s="18"/>
      <c r="D89" s="12"/>
      <c r="E89" s="22" t="s">
        <v>154</v>
      </c>
      <c r="F89" s="18"/>
      <c r="G89" s="18"/>
      <c r="H89" s="18"/>
      <c r="I89" s="12"/>
    </row>
    <row r="90" spans="2:9" ht="18" customHeight="1" x14ac:dyDescent="0.25">
      <c r="B90" s="23" t="s">
        <v>146</v>
      </c>
      <c r="C90" s="18"/>
      <c r="D90" s="12"/>
      <c r="E90" s="22" t="s">
        <v>155</v>
      </c>
      <c r="F90" s="18"/>
      <c r="G90" s="18"/>
      <c r="H90" s="18"/>
      <c r="I90" s="12"/>
    </row>
    <row r="91" spans="2:9" ht="18" customHeight="1" x14ac:dyDescent="0.25">
      <c r="B91" s="23" t="s">
        <v>148</v>
      </c>
      <c r="C91" s="18"/>
      <c r="D91" s="12"/>
      <c r="E91" s="22" t="s">
        <v>156</v>
      </c>
      <c r="F91" s="18"/>
      <c r="G91" s="18"/>
      <c r="H91" s="18"/>
      <c r="I91" s="12"/>
    </row>
    <row r="92" spans="2:9" ht="18" customHeight="1" x14ac:dyDescent="0.25">
      <c r="B92" s="23" t="s">
        <v>150</v>
      </c>
      <c r="C92" s="18"/>
      <c r="D92" s="12"/>
      <c r="E92" s="22" t="s">
        <v>157</v>
      </c>
      <c r="F92" s="18"/>
      <c r="G92" s="18"/>
      <c r="H92" s="18"/>
      <c r="I92" s="12"/>
    </row>
    <row r="94" spans="2:9" ht="15.75" customHeight="1" x14ac:dyDescent="0.25">
      <c r="B94" s="36" t="s">
        <v>219</v>
      </c>
      <c r="C94" s="18"/>
      <c r="D94" s="18"/>
      <c r="E94" s="18"/>
      <c r="F94" s="18"/>
      <c r="G94" s="18"/>
      <c r="H94" s="18"/>
      <c r="I94" s="12"/>
    </row>
  </sheetData>
  <mergeCells count="106">
    <mergeCell ref="B94:I94"/>
    <mergeCell ref="E53:I53"/>
    <mergeCell ref="B3:I3"/>
    <mergeCell ref="B69:D69"/>
    <mergeCell ref="B18:I18"/>
    <mergeCell ref="B58:I58"/>
    <mergeCell ref="E64:I64"/>
    <mergeCell ref="E51:I51"/>
    <mergeCell ref="B2:I2"/>
    <mergeCell ref="G19:H19"/>
    <mergeCell ref="B40:D40"/>
    <mergeCell ref="E63:I63"/>
    <mergeCell ref="B55:D55"/>
    <mergeCell ref="B57:I57"/>
    <mergeCell ref="B64:D64"/>
    <mergeCell ref="B28:I28"/>
    <mergeCell ref="E49:I49"/>
    <mergeCell ref="B37:I37"/>
    <mergeCell ref="D19:F19"/>
    <mergeCell ref="B6:I6"/>
    <mergeCell ref="B20:I20"/>
    <mergeCell ref="B52:D52"/>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89:D89"/>
    <mergeCell ref="E90:I90"/>
    <mergeCell ref="B81:D81"/>
    <mergeCell ref="B90:D90"/>
    <mergeCell ref="E76:I76"/>
    <mergeCell ref="E91:I91"/>
    <mergeCell ref="E85:I85"/>
    <mergeCell ref="B71:D71"/>
    <mergeCell ref="B80:I80"/>
    <mergeCell ref="E75:I75"/>
    <mergeCell ref="B5:I5"/>
    <mergeCell ref="B70:D70"/>
    <mergeCell ref="B43:D43"/>
    <mergeCell ref="E50:I50"/>
    <mergeCell ref="E42:I42"/>
    <mergeCell ref="B59:I59"/>
    <mergeCell ref="B88:D88"/>
    <mergeCell ref="B82:D82"/>
    <mergeCell ref="E83:I83"/>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84:D84"/>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60:D60"/>
    <mergeCell ref="E68:I68"/>
    <mergeCell ref="E55:I55"/>
    <mergeCell ref="E52:I52"/>
    <mergeCell ref="E67:I67"/>
    <mergeCell ref="B44:D44"/>
    <mergeCell ref="B53:D53"/>
    <mergeCell ref="E39:I39"/>
    <mergeCell ref="E48:I48"/>
    <mergeCell ref="E60:I60"/>
    <mergeCell ref="B51:D5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22"/>
  <sheetViews>
    <sheetView showGridLines="0" topLeftCell="A7" zoomScaleNormal="100" workbookViewId="0">
      <selection activeCell="D26" sqref="D26"/>
    </sheetView>
  </sheetViews>
  <sheetFormatPr defaultColWidth="8.5703125" defaultRowHeight="15" x14ac:dyDescent="0.25"/>
  <cols>
    <col min="1" max="1" width="3" customWidth="1"/>
    <col min="2" max="2" width="12" customWidth="1"/>
    <col min="3" max="6" width="16" customWidth="1"/>
    <col min="7" max="11" width="13" customWidth="1"/>
  </cols>
  <sheetData>
    <row r="1" spans="2:12" ht="13.5" customHeight="1" x14ac:dyDescent="0.25"/>
    <row r="2" spans="2:12" ht="33.75" customHeight="1" x14ac:dyDescent="0.25">
      <c r="B2" s="33" t="s">
        <v>220</v>
      </c>
      <c r="C2" s="18"/>
      <c r="D2" s="18"/>
      <c r="E2" s="18"/>
      <c r="F2" s="18"/>
      <c r="G2" s="18"/>
      <c r="H2" s="18"/>
      <c r="I2" s="18"/>
      <c r="J2" s="18"/>
      <c r="K2" s="18"/>
      <c r="L2" s="12"/>
    </row>
    <row r="4" spans="2:12" ht="19.5" customHeight="1" x14ac:dyDescent="0.25">
      <c r="B4" s="17" t="s">
        <v>221</v>
      </c>
      <c r="C4" s="18"/>
      <c r="D4" s="18"/>
      <c r="E4" s="18"/>
      <c r="F4" s="18"/>
      <c r="G4" s="18"/>
      <c r="H4" s="18"/>
      <c r="I4" s="18"/>
      <c r="J4" s="18"/>
      <c r="K4" s="18"/>
      <c r="L4" s="12"/>
    </row>
    <row r="5" spans="2:12" ht="19.5" customHeight="1" x14ac:dyDescent="0.25">
      <c r="B5" s="1" t="s">
        <v>222</v>
      </c>
      <c r="C5" s="1" t="s">
        <v>223</v>
      </c>
      <c r="D5" s="1" t="s">
        <v>224</v>
      </c>
      <c r="E5" s="1" t="s">
        <v>225</v>
      </c>
      <c r="F5" s="1" t="s">
        <v>226</v>
      </c>
      <c r="G5" s="1" t="s">
        <v>227</v>
      </c>
      <c r="H5" s="1" t="s">
        <v>228</v>
      </c>
      <c r="I5" s="1" t="s">
        <v>170</v>
      </c>
      <c r="J5" s="1" t="s">
        <v>99</v>
      </c>
      <c r="K5" s="1" t="s">
        <v>94</v>
      </c>
      <c r="L5" s="1" t="s">
        <v>51</v>
      </c>
    </row>
    <row r="6" spans="2:12" ht="18" customHeight="1" x14ac:dyDescent="0.25">
      <c r="B6" s="4" t="s">
        <v>229</v>
      </c>
      <c r="C6" s="4">
        <f>COUNTIF(Week_01!$C$8:$C$15,"A")</f>
        <v>3</v>
      </c>
      <c r="D6" s="4">
        <f>COUNTIF(Week_01!$C$8:$C$15,"B")</f>
        <v>0</v>
      </c>
      <c r="E6" s="4">
        <f>COUNTIF(Week_01!$C$8:$C$15,"C")</f>
        <v>0</v>
      </c>
      <c r="F6" s="4">
        <f>COUNTIF(Week_01!$C$8:$C$15,"D")</f>
        <v>0</v>
      </c>
      <c r="G6" s="4">
        <f>COUNTIF(Week_01!$C$8:$C$15,"E")</f>
        <v>0</v>
      </c>
      <c r="H6" s="4">
        <f t="shared" ref="H6:H15" si="0">SUM(C6:G6)</f>
        <v>3</v>
      </c>
      <c r="I6" s="4">
        <f>COUNTIF(Week_01!$G$8:$G$15,"Low")</f>
        <v>0</v>
      </c>
      <c r="J6" s="4">
        <f>COUNTIF(Week_01!$G$8:$G$15,"Medium")</f>
        <v>2</v>
      </c>
      <c r="K6" s="4">
        <f>COUNTIF(Week_01!$G$8:$G$15,"High")</f>
        <v>1</v>
      </c>
      <c r="L6" s="4"/>
    </row>
    <row r="7" spans="2:12" ht="18" customHeight="1" x14ac:dyDescent="0.25">
      <c r="B7" s="4" t="s">
        <v>230</v>
      </c>
      <c r="C7" s="4">
        <f>COUNTIF(Week_02!$C$8:$C$15,"A")</f>
        <v>2</v>
      </c>
      <c r="D7" s="4">
        <f>COUNTIF(Week_02!$C$8:$C$15,"B")</f>
        <v>0</v>
      </c>
      <c r="E7" s="4">
        <f>COUNTIF(Week_02!$C$8:$C$15,"C")</f>
        <v>0</v>
      </c>
      <c r="F7" s="4">
        <f>COUNTIF(Week_02!$C$8:$C$15,"D")</f>
        <v>0</v>
      </c>
      <c r="G7" s="4">
        <f>COUNTIF(Week_02!$C$8:$C$15,"E")</f>
        <v>0</v>
      </c>
      <c r="H7" s="4">
        <f t="shared" si="0"/>
        <v>2</v>
      </c>
      <c r="I7" s="4">
        <f>COUNTIF(Week_02!$G$8:$G$15,"Low")</f>
        <v>1</v>
      </c>
      <c r="J7" s="4">
        <f>COUNTIF(Week_02!$G$8:$G$15,"Medium")</f>
        <v>1</v>
      </c>
      <c r="K7" s="4">
        <f>COUNTIF(Week_02!$G$8:$G$15,"High")</f>
        <v>0</v>
      </c>
      <c r="L7" s="4"/>
    </row>
    <row r="8" spans="2:12" ht="18" customHeight="1" x14ac:dyDescent="0.25">
      <c r="B8" s="4" t="s">
        <v>231</v>
      </c>
      <c r="C8" s="4">
        <f>COUNTIF(Week_03!$C$8:$C$15,"A")</f>
        <v>2</v>
      </c>
      <c r="D8" s="4">
        <f>COUNTIF(Week_03!$C$8:$C$15,"B")</f>
        <v>0</v>
      </c>
      <c r="E8" s="4">
        <f>COUNTIF(Week_03!$C$8:$C$15,"C")</f>
        <v>0</v>
      </c>
      <c r="F8" s="4">
        <f>COUNTIF(Week_03!$C$8:$C$15,"D")</f>
        <v>0</v>
      </c>
      <c r="G8" s="4">
        <f>COUNTIF(Week_03!$C$8:$C$15,"E")</f>
        <v>0</v>
      </c>
      <c r="H8" s="4">
        <f t="shared" si="0"/>
        <v>2</v>
      </c>
      <c r="I8" s="4">
        <f>COUNTIF(Week_03!$G$8:$G$15,"Low")</f>
        <v>1</v>
      </c>
      <c r="J8" s="4">
        <f>COUNTIF(Week_03!$G$8:$G$15,"Medium")</f>
        <v>1</v>
      </c>
      <c r="K8" s="4">
        <f>COUNTIF(Week_03!$G$8:$G$15,"High")</f>
        <v>0</v>
      </c>
      <c r="L8" s="4"/>
    </row>
    <row r="9" spans="2:12" ht="18" customHeight="1" x14ac:dyDescent="0.25">
      <c r="B9" s="4" t="s">
        <v>232</v>
      </c>
      <c r="C9" s="4">
        <f>COUNTIF(Week_04!$C$8:$C$15,"A")</f>
        <v>0</v>
      </c>
      <c r="D9" s="4">
        <f>COUNTIF(Week_04!$C$8:$C$15,"B")</f>
        <v>0</v>
      </c>
      <c r="E9" s="4">
        <f>COUNTIF(Week_04!$C$8:$C$15,"C")</f>
        <v>0</v>
      </c>
      <c r="F9" s="4">
        <f>COUNTIF(Week_04!$C$8:$C$15,"D")</f>
        <v>0</v>
      </c>
      <c r="G9" s="4">
        <f>COUNTIF(Week_04!$C$8:$C$15,"E")</f>
        <v>0</v>
      </c>
      <c r="H9" s="4">
        <f t="shared" si="0"/>
        <v>0</v>
      </c>
      <c r="I9" s="4">
        <f>COUNTIF(Week_04!$G$8:$G$15,"Low")</f>
        <v>0</v>
      </c>
      <c r="J9" s="4">
        <f>COUNTIF(Week_04!$G$8:$G$15,"Medium")</f>
        <v>0</v>
      </c>
      <c r="K9" s="4">
        <f>COUNTIF(Week_04!$G$8:$G$15,"High")</f>
        <v>0</v>
      </c>
      <c r="L9" s="4"/>
    </row>
    <row r="10" spans="2:12" ht="18" customHeight="1" x14ac:dyDescent="0.25">
      <c r="B10" s="4" t="s">
        <v>233</v>
      </c>
      <c r="C10" s="4">
        <f>COUNTIF(Week_05!$C$8:$C$15,"A")</f>
        <v>0</v>
      </c>
      <c r="D10" s="4">
        <f>COUNTIF(Week_05!$C$8:$C$15,"B")</f>
        <v>0</v>
      </c>
      <c r="E10" s="4">
        <f>COUNTIF(Week_05!$C$8:$C$15,"C")</f>
        <v>0</v>
      </c>
      <c r="F10" s="4">
        <f>COUNTIF(Week_05!$C$8:$C$15,"D")</f>
        <v>0</v>
      </c>
      <c r="G10" s="4">
        <f>COUNTIF(Week_05!$C$8:$C$15,"E")</f>
        <v>0</v>
      </c>
      <c r="H10" s="4">
        <f t="shared" si="0"/>
        <v>0</v>
      </c>
      <c r="I10" s="4">
        <f>COUNTIF(Week_05!$G$8:$G$15,"Low")</f>
        <v>0</v>
      </c>
      <c r="J10" s="4">
        <f>COUNTIF(Week_05!$G$8:$G$15,"Medium")</f>
        <v>0</v>
      </c>
      <c r="K10" s="4">
        <f>COUNTIF(Week_05!$G$8:$G$15,"High")</f>
        <v>0</v>
      </c>
      <c r="L10" s="4"/>
    </row>
    <row r="11" spans="2:12" ht="18" customHeight="1" x14ac:dyDescent="0.25">
      <c r="B11" s="4" t="s">
        <v>234</v>
      </c>
      <c r="C11" s="4">
        <f>COUNTIF(Week_06!$C$8:$C$15,"A")</f>
        <v>0</v>
      </c>
      <c r="D11" s="4">
        <f>COUNTIF(Week_06!$C$8:$C$15,"B")</f>
        <v>0</v>
      </c>
      <c r="E11" s="4">
        <f>COUNTIF(Week_06!$C$8:$C$15,"C")</f>
        <v>0</v>
      </c>
      <c r="F11" s="4">
        <f>COUNTIF(Week_06!$C$8:$C$15,"D")</f>
        <v>0</v>
      </c>
      <c r="G11" s="4">
        <f>COUNTIF(Week_06!$C$8:$C$15,"E")</f>
        <v>0</v>
      </c>
      <c r="H11" s="4">
        <f t="shared" si="0"/>
        <v>0</v>
      </c>
      <c r="I11" s="4">
        <f>COUNTIF(Week_06!$G$8:$G$15,"Low")</f>
        <v>0</v>
      </c>
      <c r="J11" s="4">
        <f>COUNTIF(Week_06!$G$8:$G$15,"Medium")</f>
        <v>0</v>
      </c>
      <c r="K11" s="4">
        <f>COUNTIF(Week_06!$G$8:$G$15,"High")</f>
        <v>0</v>
      </c>
      <c r="L11" s="4"/>
    </row>
    <row r="12" spans="2:12" ht="18" customHeight="1" x14ac:dyDescent="0.25">
      <c r="B12" s="4" t="s">
        <v>235</v>
      </c>
      <c r="C12" s="4">
        <f>COUNTIF(Week_07!$C$8:$C$15,"A")</f>
        <v>0</v>
      </c>
      <c r="D12" s="4">
        <f>COUNTIF(Week_07!$C$8:$C$15,"B")</f>
        <v>0</v>
      </c>
      <c r="E12" s="4">
        <f>COUNTIF(Week_07!$C$8:$C$15,"C")</f>
        <v>0</v>
      </c>
      <c r="F12" s="4">
        <f>COUNTIF(Week_07!$C$8:$C$15,"D")</f>
        <v>0</v>
      </c>
      <c r="G12" s="4">
        <f>COUNTIF(Week_07!$C$8:$C$15,"E")</f>
        <v>0</v>
      </c>
      <c r="H12" s="4">
        <f t="shared" si="0"/>
        <v>0</v>
      </c>
      <c r="I12" s="4">
        <f>COUNTIF(Week_07!$G$8:$G$15,"Low")</f>
        <v>0</v>
      </c>
      <c r="J12" s="4">
        <f>COUNTIF(Week_07!$G$8:$G$15,"Medium")</f>
        <v>0</v>
      </c>
      <c r="K12" s="4">
        <f>COUNTIF(Week_07!$G$8:$G$15,"High")</f>
        <v>0</v>
      </c>
      <c r="L12" s="4"/>
    </row>
    <row r="13" spans="2:12" ht="18" customHeight="1" x14ac:dyDescent="0.25">
      <c r="B13" s="4" t="s">
        <v>236</v>
      </c>
      <c r="C13" s="4">
        <f>COUNTIF(Week_08!$C$8:$C$15,"A")</f>
        <v>0</v>
      </c>
      <c r="D13" s="4">
        <f>COUNTIF(Week_08!$C$8:$C$15,"B")</f>
        <v>0</v>
      </c>
      <c r="E13" s="4">
        <f>COUNTIF(Week_08!$C$8:$C$15,"C")</f>
        <v>0</v>
      </c>
      <c r="F13" s="4">
        <f>COUNTIF(Week_08!$C$8:$C$15,"D")</f>
        <v>0</v>
      </c>
      <c r="G13" s="4">
        <f>COUNTIF(Week_08!$C$8:$C$15,"E")</f>
        <v>0</v>
      </c>
      <c r="H13" s="4">
        <f t="shared" si="0"/>
        <v>0</v>
      </c>
      <c r="I13" s="4">
        <f>COUNTIF(Week_08!$G$8:$G$15,"Low")</f>
        <v>0</v>
      </c>
      <c r="J13" s="4">
        <f>COUNTIF(Week_08!$G$8:$G$15,"Medium")</f>
        <v>0</v>
      </c>
      <c r="K13" s="4">
        <f>COUNTIF(Week_08!$G$8:$G$15,"High")</f>
        <v>0</v>
      </c>
      <c r="L13" s="4"/>
    </row>
    <row r="14" spans="2:12" ht="18" customHeight="1" x14ac:dyDescent="0.25">
      <c r="B14" s="4" t="s">
        <v>237</v>
      </c>
      <c r="C14" s="4">
        <f>COUNTIF(Week_09!$C$8:$C$15,"A")</f>
        <v>0</v>
      </c>
      <c r="D14" s="4">
        <f>COUNTIF(Week_09!$C$8:$C$15,"B")</f>
        <v>0</v>
      </c>
      <c r="E14" s="4">
        <f>COUNTIF(Week_09!$C$8:$C$15,"C")</f>
        <v>0</v>
      </c>
      <c r="F14" s="4">
        <f>COUNTIF(Week_09!$C$8:$C$15,"D")</f>
        <v>0</v>
      </c>
      <c r="G14" s="4">
        <f>COUNTIF(Week_09!$C$8:$C$15,"E")</f>
        <v>0</v>
      </c>
      <c r="H14" s="4">
        <f t="shared" si="0"/>
        <v>0</v>
      </c>
      <c r="I14" s="4">
        <f>COUNTIF(Week_09!$G$8:$G$15,"Low")</f>
        <v>0</v>
      </c>
      <c r="J14" s="4">
        <f>COUNTIF(Week_09!$G$8:$G$15,"Medium")</f>
        <v>0</v>
      </c>
      <c r="K14" s="4">
        <f>COUNTIF(Week_09!$G$8:$G$15,"High")</f>
        <v>0</v>
      </c>
      <c r="L14" s="4"/>
    </row>
    <row r="15" spans="2:12" ht="18" customHeight="1" x14ac:dyDescent="0.25">
      <c r="B15" s="4" t="s">
        <v>238</v>
      </c>
      <c r="C15" s="4">
        <f>COUNTIF(Week_10!$C$8:$C$15,"A")</f>
        <v>0</v>
      </c>
      <c r="D15" s="4">
        <f>COUNTIF(Week_10!$C$8:$C$15,"B")</f>
        <v>0</v>
      </c>
      <c r="E15" s="4">
        <f>COUNTIF(Week_10!$C$8:$C$15,"C")</f>
        <v>0</v>
      </c>
      <c r="F15" s="4">
        <f>COUNTIF(Week_10!$C$8:$C$15,"D")</f>
        <v>0</v>
      </c>
      <c r="G15" s="4">
        <f>COUNTIF(Week_10!$C$8:$C$15,"E")</f>
        <v>0</v>
      </c>
      <c r="H15" s="4">
        <f t="shared" si="0"/>
        <v>0</v>
      </c>
      <c r="I15" s="4">
        <f>COUNTIF(Week_10!$G$8:$G$15,"Low")</f>
        <v>0</v>
      </c>
      <c r="J15" s="4">
        <f>COUNTIF(Week_10!$G$8:$G$15,"Medium")</f>
        <v>0</v>
      </c>
      <c r="K15" s="4">
        <f>COUNTIF(Week_10!$G$8:$G$15,"High")</f>
        <v>0</v>
      </c>
      <c r="L15" s="4"/>
    </row>
    <row r="16" spans="2:12" ht="19.5" customHeight="1" x14ac:dyDescent="0.25">
      <c r="B16" s="1" t="s">
        <v>239</v>
      </c>
      <c r="C16" s="1">
        <f t="shared" ref="C16:K16" si="1">SUM(C6:C15)</f>
        <v>7</v>
      </c>
      <c r="D16" s="1">
        <f t="shared" si="1"/>
        <v>0</v>
      </c>
      <c r="E16" s="1">
        <f t="shared" si="1"/>
        <v>0</v>
      </c>
      <c r="F16" s="1">
        <f t="shared" si="1"/>
        <v>0</v>
      </c>
      <c r="G16" s="1">
        <f t="shared" si="1"/>
        <v>0</v>
      </c>
      <c r="H16" s="1">
        <f t="shared" si="1"/>
        <v>7</v>
      </c>
      <c r="I16" s="1">
        <f t="shared" si="1"/>
        <v>2</v>
      </c>
      <c r="J16" s="1">
        <f t="shared" si="1"/>
        <v>4</v>
      </c>
      <c r="K16" s="1">
        <f t="shared" si="1"/>
        <v>1</v>
      </c>
      <c r="L16" s="1"/>
    </row>
    <row r="18" spans="2:12" ht="19.5" customHeight="1" x14ac:dyDescent="0.25">
      <c r="B18" s="35" t="s">
        <v>240</v>
      </c>
      <c r="C18" s="18"/>
      <c r="D18" s="18"/>
      <c r="E18" s="18"/>
      <c r="F18" s="18"/>
      <c r="G18" s="18"/>
      <c r="H18" s="18"/>
      <c r="I18" s="18"/>
      <c r="J18" s="18"/>
      <c r="K18" s="18"/>
      <c r="L18" s="12"/>
    </row>
    <row r="19" spans="2:12" ht="21.75" customHeight="1" x14ac:dyDescent="0.25">
      <c r="B19" s="37" t="s">
        <v>241</v>
      </c>
      <c r="C19" s="18"/>
      <c r="D19" s="18"/>
      <c r="E19" s="26"/>
      <c r="F19" s="18"/>
      <c r="G19" s="18"/>
      <c r="H19" s="18"/>
      <c r="I19" s="18"/>
      <c r="J19" s="18"/>
      <c r="K19" s="18"/>
      <c r="L19" s="12"/>
    </row>
    <row r="20" spans="2:12" ht="21.75" customHeight="1" x14ac:dyDescent="0.25">
      <c r="B20" s="37" t="s">
        <v>242</v>
      </c>
      <c r="C20" s="18"/>
      <c r="D20" s="18"/>
      <c r="E20" s="26"/>
      <c r="F20" s="18"/>
      <c r="G20" s="18"/>
      <c r="H20" s="18"/>
      <c r="I20" s="18"/>
      <c r="J20" s="18"/>
      <c r="K20" s="18"/>
      <c r="L20" s="12"/>
    </row>
    <row r="21" spans="2:12" ht="21.75" customHeight="1" x14ac:dyDescent="0.25">
      <c r="B21" s="37" t="s">
        <v>243</v>
      </c>
      <c r="C21" s="18"/>
      <c r="D21" s="18"/>
      <c r="E21" s="26"/>
      <c r="F21" s="18"/>
      <c r="G21" s="18"/>
      <c r="H21" s="18"/>
      <c r="I21" s="18"/>
      <c r="J21" s="18"/>
      <c r="K21" s="18"/>
      <c r="L21" s="12"/>
    </row>
    <row r="22" spans="2:12" ht="32.25" customHeight="1" x14ac:dyDescent="0.25">
      <c r="B22" s="37" t="s">
        <v>244</v>
      </c>
      <c r="C22" s="18"/>
      <c r="D22" s="18"/>
      <c r="E22" s="26"/>
      <c r="F22" s="18"/>
      <c r="G22" s="18"/>
      <c r="H22" s="18"/>
      <c r="I22" s="18"/>
      <c r="J22" s="18"/>
      <c r="K22" s="18"/>
      <c r="L22" s="12"/>
    </row>
  </sheetData>
  <mergeCells count="11">
    <mergeCell ref="B2:L2"/>
    <mergeCell ref="E19:L19"/>
    <mergeCell ref="B21:D21"/>
    <mergeCell ref="E22:L22"/>
    <mergeCell ref="B18:L18"/>
    <mergeCell ref="B20:D20"/>
    <mergeCell ref="B4:L4"/>
    <mergeCell ref="B19:D19"/>
    <mergeCell ref="E20:L20"/>
    <mergeCell ref="E21:L21"/>
    <mergeCell ref="B22:D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Phong Vu</cp:lastModifiedBy>
  <cp:revision>0</cp:revision>
  <dcterms:created xsi:type="dcterms:W3CDTF">2026-05-29T14:09:10Z</dcterms:created>
  <dcterms:modified xsi:type="dcterms:W3CDTF">2026-06-24T05:47:48Z</dcterms:modified>
  <dc:language>en-US</dc:language>
</cp:coreProperties>
</file>