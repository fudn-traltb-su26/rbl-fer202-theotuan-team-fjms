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Desktop\FER202c\RBL\rbl-fer202-theotuan-team-fjms\"/>
    </mc:Choice>
  </mc:AlternateContent>
  <bookViews>
    <workbookView xWindow="-108" yWindow="-108" windowWidth="24228" windowHeight="15492" tabRatio="500" activeTab="3"/>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calcPr calcId="162913" iterateDelta="1E-4"/>
</workbook>
</file>

<file path=xl/calcChain.xml><?xml version="1.0" encoding="utf-8"?>
<calcChain xmlns="http://schemas.openxmlformats.org/spreadsheetml/2006/main">
  <c r="K15" i="13" l="1"/>
  <c r="J15" i="13"/>
  <c r="I15" i="13"/>
  <c r="G15" i="13"/>
  <c r="F15" i="13"/>
  <c r="E15" i="13"/>
  <c r="D15" i="13"/>
  <c r="C15" i="13"/>
  <c r="H15" i="13" s="1"/>
  <c r="K14" i="13"/>
  <c r="J14" i="13"/>
  <c r="I14" i="13"/>
  <c r="G14" i="13"/>
  <c r="F14" i="13"/>
  <c r="E14" i="13"/>
  <c r="D14" i="13"/>
  <c r="C14" i="13"/>
  <c r="H14" i="13" s="1"/>
  <c r="K13" i="13"/>
  <c r="J13" i="13"/>
  <c r="I13" i="13"/>
  <c r="G13" i="13"/>
  <c r="F13" i="13"/>
  <c r="E13" i="13"/>
  <c r="D13" i="13"/>
  <c r="C13" i="13"/>
  <c r="H13" i="13" s="1"/>
  <c r="K12" i="13"/>
  <c r="J12" i="13"/>
  <c r="I12" i="13"/>
  <c r="H12" i="13"/>
  <c r="G12" i="13"/>
  <c r="F12" i="13"/>
  <c r="E12" i="13"/>
  <c r="D12" i="13"/>
  <c r="C12" i="13"/>
  <c r="K11" i="13"/>
  <c r="J11" i="13"/>
  <c r="I11" i="13"/>
  <c r="G11" i="13"/>
  <c r="F11" i="13"/>
  <c r="E11" i="13"/>
  <c r="D11" i="13"/>
  <c r="C11" i="13"/>
  <c r="H11" i="13" s="1"/>
  <c r="K10" i="13"/>
  <c r="J10" i="13"/>
  <c r="I10" i="13"/>
  <c r="G10" i="13"/>
  <c r="F10" i="13"/>
  <c r="E10" i="13"/>
  <c r="D10" i="13"/>
  <c r="H10" i="13" s="1"/>
  <c r="C10" i="13"/>
  <c r="K9" i="13"/>
  <c r="J9" i="13"/>
  <c r="I9" i="13"/>
  <c r="G9" i="13"/>
  <c r="F9" i="13"/>
  <c r="E9" i="13"/>
  <c r="D9" i="13"/>
  <c r="C9" i="13"/>
  <c r="H9" i="13" s="1"/>
  <c r="K8" i="13"/>
  <c r="J8" i="13"/>
  <c r="I8" i="13"/>
  <c r="G8" i="13"/>
  <c r="F8" i="13"/>
  <c r="H8" i="13" s="1"/>
  <c r="E8" i="13"/>
  <c r="D8" i="13"/>
  <c r="C8" i="13"/>
  <c r="K7" i="13"/>
  <c r="J7" i="13"/>
  <c r="I7" i="13"/>
  <c r="G7" i="13"/>
  <c r="F7" i="13"/>
  <c r="E7" i="13"/>
  <c r="D7" i="13"/>
  <c r="C7" i="13"/>
  <c r="K6" i="13"/>
  <c r="J6" i="13"/>
  <c r="I6" i="13"/>
  <c r="G6" i="13"/>
  <c r="F6" i="13"/>
  <c r="E6" i="13"/>
  <c r="D6" i="13"/>
  <c r="C6" i="13"/>
  <c r="I16" i="13" l="1"/>
  <c r="J16" i="13"/>
  <c r="K16" i="13"/>
  <c r="E16" i="13"/>
  <c r="F16" i="13"/>
  <c r="C16" i="13"/>
  <c r="D16" i="13"/>
  <c r="G16" i="13"/>
  <c r="H7" i="13"/>
  <c r="H6" i="13"/>
  <c r="H16" i="13" s="1"/>
</calcChain>
</file>

<file path=xl/sharedStrings.xml><?xml version="1.0" encoding="utf-8"?>
<sst xmlns="http://schemas.openxmlformats.org/spreadsheetml/2006/main" count="1295" uniqueCount="304">
  <si>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</si>
  <si>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</si>
  <si>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</si>
  <si>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</si>
  <si>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</si>
  <si>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</si>
  <si>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</si>
  <si>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</si>
  <si>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</si>
  <si>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</si>
  <si>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</si>
  <si>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</si>
  <si>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</si>
  <si>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</si>
  <si>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</si>
  <si>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</si>
  <si>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</si>
  <si>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</si>
  <si>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</si>
  <si>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</si>
  <si>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</si>
  <si>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</si>
  <si>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</si>
  <si>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</si>
  <si>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</si>
  <si>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</si>
  <si>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</si>
  <si>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</si>
  <si>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</si>
  <si>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</si>
  <si>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</si>
  <si>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Added = thêm mới  |  Changed = cải tiến  |  Fixed = sửa lỗi  |  Removed = xóa bỏ</t>
  </si>
  <si>
    <t>(*) bắt buộc</t>
  </si>
  <si>
    <t>Các cột đánh dấu (*) là bắt buộc phải điền.</t>
  </si>
  <si>
    <t>THÔNG TIN NHÓM — FER202</t>
  </si>
  <si>
    <t>📋  Thông tin lớp</t>
  </si>
  <si>
    <t>Mã lớp học</t>
  </si>
  <si>
    <t>FER202_SE20A07</t>
  </si>
  <si>
    <t>Giảng viên</t>
  </si>
  <si>
    <t>Lê Thị Bích Tra  —  traltb@fe.edu.vn</t>
  </si>
  <si>
    <t>Học kỳ / Năm học</t>
  </si>
  <si>
    <t>SU26</t>
  </si>
  <si>
    <t>Tên nhóm</t>
  </si>
  <si>
    <t>FJMS</t>
  </si>
  <si>
    <t>Số thành viên</t>
  </si>
  <si>
    <t>👥  Danh sách thành viên</t>
  </si>
  <si>
    <t>Ký hiệu (*)</t>
  </si>
  <si>
    <t>Họ và tên (*)</t>
  </si>
  <si>
    <t>MSSV (*)</t>
  </si>
  <si>
    <t>Email (*)</t>
  </si>
  <si>
    <t>Vai trò</t>
  </si>
  <si>
    <t>Ghi chú</t>
  </si>
  <si>
    <t>A</t>
  </si>
  <si>
    <t>Phan Hữu Linh</t>
  </si>
  <si>
    <t>DE191102</t>
  </si>
  <si>
    <t>benphilip11234@gmail.com</t>
  </si>
  <si>
    <t>Trưởng nhóm</t>
  </si>
  <si>
    <t>B</t>
  </si>
  <si>
    <t>Nguyễn Đăng Khang Huy</t>
  </si>
  <si>
    <t>DE190258</t>
  </si>
  <si>
    <t>vietnamnhungchuyendi@gmail.com</t>
  </si>
  <si>
    <t>Thành viên</t>
  </si>
  <si>
    <t>C</t>
  </si>
  <si>
    <t>Kiều Thị Kim Thoa</t>
  </si>
  <si>
    <t>DE190363</t>
  </si>
  <si>
    <t>Thoakieu309@gmail.com</t>
  </si>
  <si>
    <t>D</t>
  </si>
  <si>
    <t>E</t>
  </si>
  <si>
    <t>💡  Mô tả dự án</t>
  </si>
  <si>
    <t>Tên hệ thống</t>
  </si>
  <si>
    <t>Freelancer Job Matching System (FJMS)</t>
  </si>
  <si>
    <t>Mô tả ngắn</t>
  </si>
  <si>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</si>
  <si>
    <t>Công nghệ sử dụng</t>
  </si>
  <si>
    <t>Frontend: ReactJS, TailwindCSS, Axios, React Router DOM
Backend: NodeJS, ExpressJS, JWT Authentication, Socket.io
Database: Microsoft SQL Server
External Services: VNPay API, Email Service (OTP Verification)</t>
  </si>
  <si>
    <t>Link repo (GitHub/GitLab)</t>
  </si>
  <si>
    <t>https://github.com/SUMMER2026SE/swp391-rbl-project-team_7-1.git</t>
  </si>
  <si>
    <t>Link Jira</t>
  </si>
  <si>
    <t>Link demo</t>
  </si>
  <si>
    <t>WEEK 01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</si>
  <si>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</si>
  <si>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</si>
  <si>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</si>
  <si>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</si>
  <si>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</si>
  <si>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</si>
  <si>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</si>
  <si>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</si>
  <si>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</si>
  <si>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</si>
  <si>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</si>
  <si>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2026-06-23</t>
  </si>
  <si>
    <t>Khởi tạo Vite project, cấu hình thư mục dự án và cài đặt bootstrap, router, axios</t>
  </si>
  <si>
    <t>package.json, src/</t>
  </si>
  <si>
    <t>High</t>
  </si>
  <si>
    <t>Tạo dự án React 19 + Vite, thiết lập 5 folder src/components, pages...</t>
  </si>
  <si>
    <t>https://github.com/fudn-traltb-su26/rbl-fer202-theotuan-team-fjms/commit/cc82121</t>
  </si>
  <si>
    <t>Vẽ sơ đồ Component Tree cho dự án FJMS</t>
  </si>
  <si>
    <t>Week01/docs/component-tree.png</t>
  </si>
  <si>
    <t>Medium</t>
  </si>
  <si>
    <t>Thiết lập sơ đồ phân cấp cho các component App, Header, Banner, CategoryList, ProjectGrid, ProjectCard</t>
  </si>
  <si>
    <t>File component-tree.png</t>
  </si>
  <si>
    <t>Viết README.md tài liệu hướng dẫn setup dự án</t>
  </si>
  <si>
    <t>Week01/fjms-frontend/README.md</t>
  </si>
  <si>
    <t>Tạo tài liệu đặc tả các folder và các bước chạy npm install/run dev</t>
  </si>
  <si>
    <t>File README.md</t>
  </si>
  <si>
    <t>📝  BẢNG 2: Nhật ký thay đổi project  (CHANGELOG)</t>
  </si>
  <si>
    <t>Loại (*)</t>
  </si>
  <si>
    <t>Mô tả thay đổi (*)</t>
  </si>
  <si>
    <t>File liên quan</t>
  </si>
  <si>
    <t>Added — Thêm mới</t>
  </si>
  <si>
    <t>Khởi tạo repo git và setup ban đầu dự án ReactJS + Vite</t>
  </si>
  <si>
    <t>Khởi tạo thành công</t>
  </si>
  <si>
    <t>Tích hợp file db.json chứa 8 dự án tuyển dụng và 5 danh mục ngành nghề của FJMS</t>
  </si>
  <si>
    <t>db.json</t>
  </si>
  <si>
    <t>Phục vụ cho việc chạy thử json-server</t>
  </si>
  <si>
    <t>Changed — Cải tiến</t>
  </si>
  <si>
    <t>Đồng bộ hóa các đường dẫn và cập nhật file TODO.md theo cấu trúc 3 thành viên</t>
  </si>
  <si>
    <t>TODO.md</t>
  </si>
  <si>
    <t>Đồng bộ hoàn tất các tuần</t>
  </si>
  <si>
    <t>Fixed — Sửa lỗi</t>
  </si>
  <si>
    <t>Removed — Xóa bỏ</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</si>
  <si>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</si>
  <si>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</si>
  <si>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</si>
  <si>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</si>
  <si>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</si>
  <si>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</si>
  <si>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  (A — Antigravity)</t>
  </si>
  <si>
    <t>Nhờ AI hướng dẫn cách cài đặt và cấu trúc một dự án ReactJS dùng Vite cho môn FER202, có cài thêm Bootstrap, Axios và Router DOM. Chỉ cách chia folder sao cho sạch và dễ quản lý nhóm.</t>
  </si>
  <si>
    <t>Kết quả AI trả về và vấn đề gặp phải:</t>
  </si>
  <si>
    <t>AI nó chỉ các câu lệnh npm cài đặt rất nhanh, và đưa ra cấu trúc thư mục chuẩn. Tuy nhiên, nó bị lỗi thời khi vẫn khuyên dùng Create React App (CRA) dù cái này đã bị deprecated từ lâu. Ngoài ra, nó gợi ý nhét cả Redux và Context cùng lúc ngay từ tuần đầu làm code rất rối và thừa thãi.</t>
  </si>
  <si>
    <t>Nhóm đã chỉnh sửa / sử dụng như thế nào:</t>
  </si>
  <si>
    <t>Nhóm quyết định bỏ qua gợi ý CRA, dùng Vite chạy cho nhẹ. Thư mục src chia thành các folder con: components, pages, hooks, services, context. Chưa tạo folder store/redux vì tuần 1 chưa cần quản lý state phức tạp đến thế.</t>
  </si>
  <si>
    <t>Kiểm chứng (test pass/fail, kết quả đúng không):</t>
  </si>
  <si>
    <t>Chạy thử npm run dev thấy lên trang mặc định của Vite, vào tab Console kiểm tra không thấy báo lỗi đỏ nào.</t>
  </si>
  <si>
    <t>Prompt #2</t>
  </si>
  <si>
    <t>Prompt #3</t>
  </si>
  <si>
    <t>Prompt #4</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</si>
  <si>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</si>
  <si>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</si>
  <si>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</si>
  <si>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</si>
  <si>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Setup dự án Vite, chia folder src, cài bootstrap, router, axios. Viết README.md và vẽ sơ đồ component tree đơn giản.</t>
  </si>
  <si>
    <t>AI đã hỗ trợ như thế nào?</t>
  </si>
  <si>
    <t>Hỏi AI để tham khảo cách chia thư mục và cấu trúc file. Tiết kiệm được thời gian gõ code cấu trúc thô ban đầu.</t>
  </si>
  <si>
    <t>AI sai hoặc thiếu ở đâu? (*)</t>
  </si>
  <si>
    <t>(1) AI vẫn chỉ dùng CRA lỗi thời để tạo dự án. (2) Gợi ý thêm Redux quá sớm làm phức tạp hóa code trong khi tuần 1 chỉ cần khung sườn tĩnh.</t>
  </si>
  <si>
    <t>Khó khăn gặp phải</t>
  </si>
  <si>
    <t>Lúc đầu cài bootstrap bị xung đột version với react-bootstrap mới, phải gỡ ra cài lại bản tương thích.</t>
  </si>
  <si>
    <t>Nếu làm lại, sẽ cải thiện điều gì?</t>
  </si>
  <si>
    <t>Lần sau hỏi AI sẽ chỉ rõ phiên bản React và Bootstrap muốn dùng để tránh nó code bậy bản cũ.</t>
  </si>
  <si>
    <t>Thành viên B — Thành viên</t>
  </si>
  <si>
    <t>💬 Liệt kê cụ thể: tính năng, test case, module, file...</t>
  </si>
  <si>
    <t>💬 Tóm tắt cách dùng AI: tool nào, việc gì, hiệu quả ra sao</t>
  </si>
  <si>
    <t>💬 ⚠️ Bắt buộc ≥ 2 ví dụ cụ thể về điểm AI chưa đúng/đủ</t>
  </si>
  <si>
    <t>💬 Kỹ thuật, nhóm, công cụ, môi trường...</t>
  </si>
  <si>
    <t>💬 Quy trình, cách dùng AI, phân công nhóm...</t>
  </si>
  <si>
    <t>Thành viên C — Thành viên</t>
  </si>
  <si>
    <t>Thành viên D — Thành viên</t>
  </si>
  <si>
    <t>Thành viên E — Thành viên</t>
  </si>
  <si>
    <t>FER202  |  Week 01  |  FPT University — Điền xong nhớ Ctrl+S để lưu!</t>
  </si>
  <si>
    <t>2026-06-24</t>
  </si>
  <si>
    <t>Gemini</t>
  </si>
  <si>
    <t>Tạo giao diện Header.jsx tĩnh cho sàn FJMS</t>
  </si>
  <si>
    <t>src/components/Header.jsx</t>
  </si>
  <si>
    <t>Tạo thanh Navbar với Logo, các link Trang chủ, Tìm việc, Dự án đã lưu, Dashboard và icon giỏ hàng</t>
  </si>
  <si>
    <t>File Header.jsx</t>
  </si>
  <si>
    <t>Tạo giao diện Footer.jsx có năm hiện tại động</t>
  </si>
  <si>
    <t>src/components/Footer.jsx</t>
  </si>
  <si>
    <t>Low</t>
  </si>
  <si>
    <t>Code chân trang với năm bản quyền tự động cập nhật qua new Date().getFullYear()</t>
  </si>
  <si>
    <t>File Footer.jsx</t>
  </si>
  <si>
    <t>Tạo mới components Header.jsx và Footer.jsx tĩnh cho dự án</t>
  </si>
  <si>
    <t>src/components/Header.jsx, src/components/Footer.jsx</t>
  </si>
  <si>
    <t>Header có navbar và footer có năm tự động</t>
  </si>
  <si>
    <t>Thêm CSS cơ bản trong index.css để reset margin/padding và set màu chủ đạo Emerald green cho FJMS</t>
  </si>
  <si>
    <t>src/index.css</t>
  </si>
  <si>
    <t>Style màu thương hiệu</t>
  </si>
  <si>
    <t>Prompt #1  (A — Gemini)</t>
  </si>
  <si>
    <t>Viết giùm code component Header.jsx bằng React 19 hiển thị thanh Navbar. Có logo FJMS Marketplace ở bên trái, giữa là các link trang chủ, tìm việc, dự án đã lưu, dashboard. Bên phải có icon giỏ hàng.</t>
  </si>
  <si>
    <t>AI sinh ra code HTML và CSS inline khá dài dòng. Giao diện nhìn tạm ổn nhưng nó xài thẻ &lt;a&gt; cho các link điều hướng làm trang bị load lại mỗi khi click, mất tính chất Single Page App.</t>
  </si>
  <si>
    <t>Nhóm thay toàn bộ thẻ &lt;a&gt; thành component &lt;Link&gt; và &lt;NavLink&gt; từ thư viện react-router-dom để chuyển trang không bị load lại. Đồng thời dọn bớt đống style inline nhét vào file CSS riêng.</t>
  </si>
  <si>
    <t>Click thử giữa các tab trên Header thấy chuyển trang mượt, không bị xoay vòng tròn load lại trang.</t>
  </si>
  <si>
    <t>Code xong Header.jsx và Footer.jsx tĩnh cho dự án FJMS.</t>
  </si>
  <si>
    <t>AI gen khung HTML và css mẫu cho Header/Footer nhanh, đỡ phải tự gõ từng thẻ.</t>
  </si>
  <si>
    <t>(1) AI sử dụng các thẻ &lt;a&gt; thay vì Link làm app bị reload. (2) AI viết style dạng inline quá dài dòng trong JSX làm file code dài hơn 200 dòng, rất khó bảo trì.</t>
  </si>
  <si>
    <t>Header bị lệch align giữa logo và menu, phải tự căn chỉnh lại flexbox.</t>
  </si>
  <si>
    <t>Nên yêu cầu AI chia nhỏ CSS ra hoặc dùng Tailwind/Bootstrap ngay từ đầu cho sạch.</t>
  </si>
  <si>
    <t>FER202  |  Week 02  |  FPT University — Điền xong nhớ Ctrl+S để lưu!</t>
  </si>
  <si>
    <t>2026-06-25</t>
  </si>
  <si>
    <t>Refactor ProjectCard.jsx để nhận dữ liệu qua props</t>
  </si>
  <si>
    <t>src/components/ProjectCard.jsx</t>
  </si>
  <si>
    <t>Thay đổi dữ liệu hardcode thành các thuộc tính động từ project object (title, budget, category)</t>
  </si>
  <si>
    <t>File ProjectCard.jsx</t>
  </si>
  <si>
    <t>Xử lý sự kiện onSaveProject qua props của ProjectCard</t>
  </si>
  <si>
    <t>Liên kết nút lưu dự án gọi đến callback handler từ component cha</t>
  </si>
  <si>
    <t>Refactor ProjectCard.jsx chuyển đổi từ dữ liệu hardcode sang props động</t>
  </si>
  <si>
    <t>Nhận project object và callback onSaveProject</t>
  </si>
  <si>
    <t>Cập nhật App.jsx để truyền mảng PROJECTS mẫu xuống ProjectGrid làm dữ liệu đầu vào</t>
  </si>
  <si>
    <t>src/App.jsx</t>
  </si>
  <si>
    <t>Test luồng dữ liệu một chiều</t>
  </si>
  <si>
    <t>Refactor component ProjectCard.jsx để nó nhận object project qua props chứ không hardcode nữa. Nút Lưu dự án thì gọi hàm onSaveProject từ component cha truyền xuống. Budget thì format dạng VND.</t>
  </si>
  <si>
    <t>AI viết hàm format tiền VND khá chuẩn bằng Intl.NumberFormat. Nhưng nó quên check điều kiện null của project object. Khi data chưa truyền xuống kịp thì app bị crash màn hình trắng xoá vì lỗi Cannot read properties of undefined.</t>
  </si>
  <si>
    <t>Nhóm sửa lại bằng cách thêm toán tử optional chaining (project?.title, project?.budget) và set một project mặc định nếu props truyền vào bị rỗng.</t>
  </si>
  <si>
    <t>Truyền thử project rỗng vào Card thấy không bị crash app nữa, hiển thị đúng budget định dạng VND.</t>
  </si>
  <si>
    <t>Refactor ProjectCard để truyền nhận props động, định dạng tiền tệ và nhận callback từ component cha.</t>
  </si>
  <si>
    <t>AI hướng dẫn cách viết hàm format VND và destructing props nhanh gọn.</t>
  </si>
  <si>
    <t>(1) AI không sử dụng optional chaining khi truy xuất các thuộc tính của project object dẫn đến lỗi crash. (2) AI gợi ý sai cú pháp hàm callback khi quên không bọc vào arrow function làm nó tự chạy liên tục khi render.</t>
  </si>
  <si>
    <t>Lỗi render vòng lặp vô hạn ở hàm callback của nút Lưu dự án, mất cả buổi chiều để debug.</t>
  </si>
  <si>
    <t>Khi truyền event handler qua props luôn nhớ bọc trong arrow function () =&gt; handler(data).</t>
  </si>
  <si>
    <t>FER202  |  Week 03  |  FPT University — Điền xong nhớ Ctrl+S để lưu!</t>
  </si>
  <si>
    <t>Prompt #1</t>
  </si>
  <si>
    <t>FER202  |  Week 04  |  FPT University — Điền xong nhớ Ctrl+S để lưu!</t>
  </si>
  <si>
    <t>FER202  |  Week 05  |  FPT University — Điền xong nhớ Ctrl+S để lưu!</t>
  </si>
  <si>
    <t>FER202  |  Week 06  |  FPT University — Điền xong nhớ Ctrl+S để lưu!</t>
  </si>
  <si>
    <t>FER202  |  Week 07  |  FPT University — Điền xong nhớ Ctrl+S để lưu!</t>
  </si>
  <si>
    <t>FER202  |  Week 08  |  FPT University — Điền xong nhớ Ctrl+S để lưu!</t>
  </si>
  <si>
    <t>FER202  |  Week 09  |  FPT University — Điền xong nhớ Ctrl+S để lưu!</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</si>
  <si>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</si>
  <si>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</si>
  <si>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</si>
  <si>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</si>
  <si>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</si>
  <si>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</si>
  <si>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</si>
  <si>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</si>
  <si>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</si>
  <si>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</si>
  <si>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Week 01</t>
  </si>
  <si>
    <t>Week 02</t>
  </si>
  <si>
    <t>Week 03</t>
  </si>
  <si>
    <t>Week 04</t>
  </si>
  <si>
    <t>Week 05</t>
  </si>
  <si>
    <t>Week 06</t>
  </si>
  <si>
    <t>Week 07</t>
  </si>
  <si>
    <t>Week 08</t>
  </si>
  <si>
    <t>Week 09</t>
  </si>
  <si>
    <t>Week 10</t>
  </si>
  <si>
    <t>TỔNG</t>
  </si>
  <si>
    <t>📝  Nhận xét tổng kết học kỳ của nhóm</t>
  </si>
  <si>
    <t>Công cụ AI nhóm dùng nhiều nhất:</t>
  </si>
  <si>
    <t>Tuần sử dụng AI hiệu quả nhất và lý do:</t>
  </si>
  <si>
    <t>Điểm hạn chế / rủi ro khi dùng AI trong project:</t>
  </si>
  <si>
    <t>Bài học lớn nhất từ việc dùng AI trong học kỳ này:</t>
  </si>
  <si>
    <t>gemini</t>
  </si>
  <si>
    <t>ChatGPT</t>
  </si>
  <si>
    <t>Dựng Component Banner.jsx hiển thị Banner giới thiệu trang chủ.</t>
  </si>
  <si>
    <t>AI đã sinh ra được mã nguồn React hợp lệ đúng cấu trúc JSX.</t>
  </si>
  <si>
    <t>https://stitch.withgoogle.com/projects/12993772099176633908?pli=1</t>
  </si>
  <si>
    <t>Dựng Component tĩnh ProjectCard.jsx.</t>
  </si>
  <si>
    <t>Banner.jsx</t>
  </si>
  <si>
    <t>ProjectCard.jsx</t>
  </si>
  <si>
    <t>AI cung cấp cấu trúc thẻ Card khá đẹp và chia layout thành các thẻ div rõ ràng.</t>
  </si>
  <si>
    <t>Tạo mới component tĩnh Banner.jsx (Hero section) và ProjectCard.jsx (Thẻ dự án).</t>
  </si>
  <si>
    <t>src/components/Banner.jsx, src/components/ProjectCard.jsx</t>
  </si>
  <si>
    <t>Đã áp dụng inline CSS theo đúng màu sắc của Style Guide.</t>
  </si>
  <si>
    <t>Prompt #2 ( B- ChatGPT)</t>
  </si>
  <si>
    <t>Viết cho tôi component Banner.jsx bằng React. Component này đóng vai trò Hero Section, bao gồm thẻ h1 'Tìm Kiếm Freelancer Phù Hợp', đoạn mô tả và 2 nút bấm. Yêu cầu dùng inline CSS, không dùng thư viện ngoài.</t>
  </si>
  <si>
    <t>AI sinh ra code đúng chuẩn JSX nhưng các nút bấm có kích thước chưa cân đối và màu sắc bị sai mã Hex (xanh lá chóe) so với thiết kế Figma.</t>
  </si>
  <si>
    <t>Giữ nguyên khung HTML/JSX của AI, sau đó chỉnh sửa lại toàn bộ mã màu Hex trong thẻ style={{...}} cho khớp với Style Guide.</t>
  </si>
  <si>
    <t>Chạy npm run dev, component hiển thị tốt trên trình duyệt, màu sắc chuẩn.</t>
  </si>
  <si>
    <t>Lập trình thành công 2 giao diện tĩnh là Banner.jsx và ProjectCard.jsx bằng cú pháp JSX và inline CSS.</t>
  </si>
  <si>
    <t>AI giúp tạo nhanh bộ khung thẻ HTML lồng nhau và các style cơ bản (flexbox, padding), tiết kiệm được 50% thời gian phải gõ chay.</t>
  </si>
  <si>
    <t>(1) AI thường xuyên sử dụng sai mã màu (không đúng theo nhận diện thương hiệu). (2) AI hay tự ý thêm các thẻ thẻ &lt;a&gt; hoặc placeholder ảnh gây lỗi hiển thị.</t>
  </si>
  <si>
    <t>Việc viết CSS dạng inline (trong file .jsx) rất dài dòng, khiến file code bị "phình" to, rất khó dò lỗi khi thiếu một dấu phẩy , hoặc ngoặc nhọn }.</t>
  </si>
  <si>
    <t>Sẽ chia nhỏ các style object ra ngoài component thay vì nhét thẳng vào thẻ HTML để code dễ đọc hơn.</t>
  </si>
  <si>
    <t>Thiết kế bản vẽ Mockup cho giao diện Trang chủ và Trang danh sách dự án; Lập bảng màu Style Guide.</t>
  </si>
  <si>
    <t>docs/mockup/Home_Page.png, docs/mockup/Project_List.png, docs/mockup/style-guide.md</t>
  </si>
  <si>
    <t>Đã chốt mã màu chủ đạo là Emerald Green (#059669).</t>
  </si>
  <si>
    <t>Prompt #2 (B--ChatGPT)</t>
  </si>
  <si>
    <t>Generate a UI mockup for a project card showing job details. Include project title, category, budget, duration, and a 'Submit Proposal' button. Style should use rounded corners (12px), drop shadows, and lots of whitespace.</t>
  </si>
  <si>
    <t>AI tạo thẻ Card tốt nhưng lại chèn quá nhiều đoạn text Lorem Ipsum dài thòng làm thẻ bị vỡ tỷ lệ, thiếu các icon minh họa cho ngân sách.</t>
  </si>
  <si>
    <t>Xóa bớt chữ thừa, thêm thủ công các icon (tiền tệ, đồng hồ) vào bên cạnh các thông số để giao diện trực quan và chuyên nghiệp hơn.</t>
  </si>
  <si>
    <t>Các thẻ dự án được sắp xếp rất gọn gàng trong file Project_List.png.</t>
  </si>
  <si>
    <t>Lên ý tưởng (Ideation) và phác thảo thành công Mockup giao diện cho Trang chủ, đồng thời xây dựng quy chuẩn Style Guide cho nhóm.</t>
  </si>
  <si>
    <t>AI đóng vai trò như một người vẽ nháp, giúp sinh ra hàng loạt ý tưởng layout trong vài giây thay vì phải cặm cụi kéo thả từng ô vuông trong Figma.</t>
  </si>
  <si>
    <t>(1) AI thường xuyên sử dụng text vô nghĩa (Lorem Ipsum) thay vì dữ liệu thật. (2) AI không duy trì được sự nhất quán (consistency) giữa các lần sinh ảnh (màu xanh lúc đậm lúc nhạt).</t>
  </si>
  <si>
    <t>Kỹ năng viết prompt (Prompt Engineering) để mô tả UI chi tiết bằng tiếng Anh khá mất thời gian; nếu mô tả sơ sài AI sẽ vẽ rất chung chung.</t>
  </si>
  <si>
    <t>Nên thiết lập sẵn bộ nguyên tắc (Design System guidelines) đưa cho AI học ngay từ câu lệnh đầu tiên để đảm bảo AI sinh màu sắc đúng chuẩn 100%.</t>
  </si>
  <si>
    <t>Lên ý tưởng và vẽ phác thảo giao diện Trang chủ (Hero section).</t>
  </si>
  <si>
    <t>docs/mockup/Home_Page.png</t>
  </si>
  <si>
    <t>Tạo thành công bản nháp UI, export sang Figma để chỉnh sửa lại padding nút bấm và font chữ.</t>
  </si>
  <si>
    <t>Chuyển đổi component ProjectGrid tĩnh sang nhận mảng dữ liệu thông qua Props.</t>
  </si>
  <si>
    <t>src/components/ProjectGrid.jsx</t>
  </si>
  <si>
    <t>AI hướng dẫn cách dùng destructuring props và truyền object xuống component con.</t>
  </si>
  <si>
    <t>ProjectGrid.jsx</t>
  </si>
  <si>
    <t>Cải tiến CategoryList để nhận mảng categories từ component cha và map ra giao diện.</t>
  </si>
  <si>
    <t>src/components/CategoryList.jsx</t>
  </si>
  <si>
    <t>Tối ưu code lặp thừa, thêm tham số key vào hàm map() theo đúng chuẩn React.</t>
  </si>
  <si>
    <t>CategoryList.jsx</t>
  </si>
  <si>
    <t>Refactor ProjectGrid.jsx và CategoryList.jsx để hiển thị dữ liệu động dựa trên props truyền từ App xuống thay vì gõ cứng.</t>
  </si>
  <si>
    <t>src/components/ProjectGrid.jsx, src/components/CategoryList.jsx</t>
  </si>
  <si>
    <t>Cập nhật luồng dữ liệu One-way data flow, giải quyết lỗi warning thiếu thuộc tính key.</t>
  </si>
  <si>
    <t>Refactor file ProjectGrid.jsx hiện tại của tôi. Thay vì dùng mảng PROJECTS_DATA hardcode bên trong, hãy cấu hình để nó nhận một tham số props là projects từ component cha truyền xuống. Cập nhật lại hàm map để sử dụng props này.</t>
  </si>
  <si>
    <t>AI sửa code rất nhanh, tuy nhiên quên không kiểm tra mảng rỗng khiến app bị lỗi (crash) nếu mảng projects chưa kịp truyền tới.</t>
  </si>
  <si>
    <t>Tự thêm thủ công toán tử điều kiện projects &amp;&amp; projects.length &gt; 0 trước khi thực hiện hàm .map().</t>
  </si>
  <si>
    <t>Prompt #2( B- ChatGPT)</t>
  </si>
  <si>
    <t>Dữ liệu truyền từ App xuống Grid hiển thị thành công, có thể kiểm tra qua React DevTools.</t>
  </si>
  <si>
    <t>Áp dụng kiến trúc luồng dữ liệu một chiều (One-way data flow) bằng cách truyền dữ liệu mảng qua biến props từ App xuống các component con để hiển thị tự động.</t>
  </si>
  <si>
    <t>AI hỗ trợ refactor code cũ thành cấu trúc mới dùng props cực kỳ nhanh, nhắc nhở việc phải luôn thêm thuộc tính key đặc biệt trong các hàm map() của React.</t>
  </si>
  <si>
    <t>(1) AI hay quên kiểm tra (validate) biến props có bị undefined hay không trước khi gọi hàm map, dễ làm sập app. (2) Đôi khi AI đổi tên biến props khác với tên mình đang đặt ở file cha.</t>
  </si>
  <si>
    <t>Hơi bối rối khi truyền và nhận props qua nhiều tầng component (Props drilling), đôi khi quên truyền props từ cha khiến dữ liệu ở component con báo lỗi undefined.</t>
  </si>
  <si>
    <t>Sẽ tìm hiểu kỹ thêm về cách gỡ lỗi (debug) luồng truyền props bằng React DevTools để kiểm soát tốt hơn.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</si>
</sst>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Calibri"/>
      <family val="2"/>
      <charset val="1"/>
    </font>
    <font>
      <b/>
      <sz val="16"/>
      <color rgb="FFFFFFFF"/>
      <name val="Arial"/>
      <charset val="1"/>
    </font>
    <font>
      <i/>
      <sz val="11"/>
      <color rgb="FFFFFFFF"/>
      <name val="Arial"/>
      <charset val="1"/>
    </font>
    <font>
      <b/>
      <sz val="11"/>
      <color rgb="FFFFFFFF"/>
      <name val="Arial"/>
      <charset val="1"/>
    </font>
    <font>
      <sz val="10"/>
      <color rgb="FF000000"/>
      <name val="Arial"/>
      <charset val="1"/>
    </font>
    <font>
      <b/>
      <sz val="15"/>
      <color rgb="FFFFFFFF"/>
      <name val="Arial"/>
      <charset val="1"/>
    </font>
    <font>
      <b/>
      <sz val="10"/>
      <color rgb="FF000000"/>
      <name val="Arial"/>
      <charset val="1"/>
    </font>
    <font>
      <b/>
      <sz val="14"/>
      <color rgb="FFFFFFFF"/>
      <name val="Arial"/>
      <charset val="1"/>
    </font>
    <font>
      <i/>
      <sz val="9"/>
      <color rgb="FF808080"/>
      <name val="Arial"/>
      <charset val="1"/>
    </font>
    <font>
      <b/>
      <i/>
      <sz val="10"/>
      <color rgb="FF000000"/>
      <name val="Arial"/>
      <charset val="1"/>
    </font>
    <font>
      <i/>
      <sz val="9"/>
      <color rgb="FFFFFFFF"/>
      <name val="Arial"/>
      <charset val="1"/>
    </font>
    <font>
      <b/>
      <sz val="10"/>
      <color rgb="FF000000"/>
      <name val="Arial"/>
      <family val="2"/>
      <charset val="1"/>
    </font>
    <font>
      <u/>
      <sz val="11"/>
      <color theme="10"/>
      <name val="Calibri"/>
      <family val="2"/>
      <charset val="1"/>
    </font>
    <font>
      <sz val="10"/>
      <color rgb="FF000000"/>
      <name val="Arial"/>
      <family val="2"/>
    </font>
    <font>
      <b/>
      <sz val="8"/>
      <color theme="1"/>
      <name val="Cambria"/>
      <family val="1"/>
      <scheme val="major"/>
    </font>
    <font>
      <b/>
      <sz val="10"/>
      <color rgb="FF000000"/>
      <name val="Arial"/>
      <family val="2"/>
    </font>
    <font>
      <i/>
      <sz val="9"/>
      <color rgb="FF808080"/>
      <name val="Arial"/>
      <family val="2"/>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s>
  <cellStyleXfs count="2">
    <xf numFmtId="0" fontId="0" fillId="0" borderId="0"/>
    <xf numFmtId="0" fontId="12" fillId="0" borderId="0"/>
  </cellStyleXfs>
  <cellXfs count="46">
    <xf numFmtId="0" fontId="0" fillId="0" borderId="0" xfId="0"/>
    <xf numFmtId="0" fontId="6"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3" xfId="0" applyFont="1" applyBorder="1" applyAlignment="1">
      <alignment horizontal="left" vertical="center" wrapText="1"/>
    </xf>
    <xf numFmtId="0" fontId="4" fillId="0" borderId="1" xfId="0" applyFont="1" applyBorder="1" applyAlignment="1">
      <alignment horizontal="center" vertical="center" wrapText="1"/>
    </xf>
    <xf numFmtId="0" fontId="6" fillId="0" borderId="2" xfId="0" applyFont="1" applyBorder="1" applyAlignment="1">
      <alignment horizontal="left" vertical="center" wrapText="1"/>
    </xf>
    <xf numFmtId="0" fontId="6" fillId="0" borderId="1" xfId="0" applyFont="1" applyBorder="1" applyAlignment="1">
      <alignment horizontal="left" vertical="center" wrapText="1"/>
    </xf>
    <xf numFmtId="0" fontId="4" fillId="0" borderId="1" xfId="0" applyFont="1" applyBorder="1" applyAlignment="1">
      <alignment horizontal="left" vertical="center" wrapText="1"/>
    </xf>
    <xf numFmtId="0" fontId="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12" fillId="0" borderId="1" xfId="1" applyBorder="1" applyAlignment="1">
      <alignment horizontal="left" vertical="center" wrapText="1"/>
    </xf>
    <xf numFmtId="0" fontId="4" fillId="0" borderId="1" xfId="0" applyFont="1" applyBorder="1" applyAlignment="1">
      <alignment horizontal="left" vertical="center" wrapText="1"/>
    </xf>
    <xf numFmtId="0" fontId="13" fillId="0" borderId="1" xfId="0" applyFont="1" applyBorder="1" applyAlignment="1">
      <alignment horizontal="left" vertical="center" wrapText="1"/>
    </xf>
    <xf numFmtId="0" fontId="3" fillId="5" borderId="1" xfId="0" applyFont="1" applyFill="1" applyBorder="1" applyAlignment="1">
      <alignment horizontal="left" vertical="center" wrapText="1"/>
    </xf>
    <xf numFmtId="0" fontId="0" fillId="0" borderId="5" xfId="0" applyBorder="1"/>
    <xf numFmtId="0" fontId="1" fillId="2"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6" fillId="0" borderId="2" xfId="0" applyFont="1" applyBorder="1" applyAlignment="1">
      <alignment horizontal="left" vertical="center" wrapText="1"/>
    </xf>
    <xf numFmtId="0" fontId="0" fillId="0" borderId="3" xfId="0" applyBorder="1"/>
    <xf numFmtId="0" fontId="12" fillId="0" borderId="2" xfId="1" applyBorder="1" applyAlignment="1">
      <alignment horizontal="left" vertical="center" wrapText="1"/>
    </xf>
    <xf numFmtId="0" fontId="5" fillId="2"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8" fillId="0" borderId="0" xfId="0" applyFont="1" applyAlignment="1">
      <alignment horizontal="center" vertical="center" wrapText="1"/>
    </xf>
    <xf numFmtId="0" fontId="0" fillId="0" borderId="0" xfId="0"/>
    <xf numFmtId="0" fontId="6" fillId="0" borderId="1" xfId="0" applyFont="1" applyBorder="1" applyAlignment="1">
      <alignment horizontal="left" vertical="center" wrapText="1"/>
    </xf>
    <xf numFmtId="0" fontId="8" fillId="0" borderId="0" xfId="0" applyFont="1" applyAlignment="1">
      <alignment horizontal="left" vertical="center" wrapText="1"/>
    </xf>
    <xf numFmtId="0" fontId="8" fillId="0" borderId="4" xfId="0" applyFont="1" applyBorder="1" applyAlignment="1">
      <alignment horizontal="left" vertical="center" wrapText="1"/>
    </xf>
    <xf numFmtId="0" fontId="7" fillId="2"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3" fillId="10"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6" fillId="11" borderId="1" xfId="0" applyFont="1" applyFill="1" applyBorder="1" applyAlignment="1">
      <alignment horizontal="left" vertical="center" wrapText="1"/>
    </xf>
    <xf numFmtId="0" fontId="6" fillId="9" borderId="1" xfId="0" applyFont="1" applyFill="1" applyBorder="1" applyAlignment="1">
      <alignment horizontal="center" vertical="center" wrapText="1"/>
    </xf>
    <xf numFmtId="0" fontId="11" fillId="0" borderId="2" xfId="0" applyFont="1" applyBorder="1" applyAlignment="1">
      <alignment horizontal="left" vertical="center" wrapText="1"/>
    </xf>
    <xf numFmtId="14" fontId="4" fillId="0" borderId="1" xfId="0" applyNumberFormat="1" applyFont="1" applyBorder="1" applyAlignment="1">
      <alignment horizontal="left" vertical="center" wrapText="1"/>
    </xf>
    <xf numFmtId="0" fontId="12" fillId="0" borderId="0" xfId="1"/>
    <xf numFmtId="0" fontId="14" fillId="0" borderId="0" xfId="0" applyFont="1"/>
    <xf numFmtId="0" fontId="15" fillId="8" borderId="1" xfId="0" applyFont="1" applyFill="1" applyBorder="1" applyAlignment="1">
      <alignment horizontal="center" vertical="center" wrapText="1"/>
    </xf>
    <xf numFmtId="0" fontId="13" fillId="0" borderId="1" xfId="0" applyFont="1" applyBorder="1" applyAlignment="1">
      <alignment horizontal="left" vertical="center" wrapText="1"/>
    </xf>
    <xf numFmtId="0" fontId="16" fillId="0" borderId="4" xfId="0"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mailto:Thoakieu309@gmail.com" TargetMode="External"/><Relationship Id="rId2" Type="http://schemas.openxmlformats.org/officeDocument/2006/relationships/hyperlink" Target="mailto:vietnamnhungchuyendi@gmail.com" TargetMode="External"/><Relationship Id="rId1" Type="http://schemas.openxmlformats.org/officeDocument/2006/relationships/hyperlink" Target="mailto:benphilip11234@gmail.com" TargetMode="External"/><Relationship Id="rId4" Type="http://schemas.openxmlformats.org/officeDocument/2006/relationships/hyperlink" Target="https://github.com/SUMMER2026SE/swp391-rbl-project-team_7-1.git"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stitch.withgoogle.com/projects/12993772099176633908?pli=1" TargetMode="External"/><Relationship Id="rId1" Type="http://schemas.openxmlformats.org/officeDocument/2006/relationships/hyperlink" Target="https://stitch.withgoogle.com/projects/12993772099176633908?pli=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C25"/>
  <sheetViews>
    <sheetView showGridLines="0" zoomScaleNormal="100" workbookViewId="0"/>
  </sheetViews>
  <sheetFormatPr defaultColWidth="8.5546875" defaultRowHeight="14.4" x14ac:dyDescent="0.3"/>
  <cols>
    <col min="1" max="1" width="3" customWidth="1"/>
    <col min="2" max="2" width="28" customWidth="1"/>
    <col min="3" max="3" width="84.44140625" customWidth="1"/>
  </cols>
  <sheetData>
    <row r="1" spans="2:3" ht="13.5" customHeight="1" x14ac:dyDescent="0.3"/>
    <row r="2" spans="2:3" ht="36" customHeight="1" x14ac:dyDescent="0.3">
      <c r="B2" s="15" t="s">
        <v>0</v>
      </c>
      <c r="C2" s="14"/>
    </row>
    <row r="3" spans="2:3" ht="18" customHeight="1" x14ac:dyDescent="0.3">
      <c r="B3" s="17" t="s">
        <v>1</v>
      </c>
      <c r="C3" s="14"/>
    </row>
    <row r="5" spans="2:3" ht="19.5" customHeight="1" x14ac:dyDescent="0.3">
      <c r="B5" s="18" t="s">
        <v>2</v>
      </c>
      <c r="C5" s="14"/>
    </row>
    <row r="6" spans="2:3" ht="24.75" customHeight="1" x14ac:dyDescent="0.3">
      <c r="B6" s="7" t="s">
        <v>3</v>
      </c>
      <c r="C6" s="7" t="s">
        <v>4</v>
      </c>
    </row>
    <row r="7" spans="2:3" ht="24.75" customHeight="1" x14ac:dyDescent="0.3">
      <c r="B7" s="7" t="s">
        <v>5</v>
      </c>
      <c r="C7" s="7" t="s">
        <v>6</v>
      </c>
    </row>
    <row r="8" spans="2:3" ht="18" customHeight="1" x14ac:dyDescent="0.3">
      <c r="B8" s="7" t="s">
        <v>7</v>
      </c>
      <c r="C8" s="7" t="s">
        <v>8</v>
      </c>
    </row>
    <row r="10" spans="2:3" ht="19.5" customHeight="1" x14ac:dyDescent="0.3">
      <c r="B10" s="19" t="s">
        <v>9</v>
      </c>
      <c r="C10" s="14"/>
    </row>
    <row r="11" spans="2:3" x14ac:dyDescent="0.3">
      <c r="B11" s="7" t="s">
        <v>10</v>
      </c>
      <c r="C11" s="7" t="s">
        <v>11</v>
      </c>
    </row>
    <row r="12" spans="2:3" x14ac:dyDescent="0.3">
      <c r="B12" s="7" t="s">
        <v>12</v>
      </c>
      <c r="C12" s="7" t="s">
        <v>13</v>
      </c>
    </row>
    <row r="13" spans="2:3" ht="18" customHeight="1" x14ac:dyDescent="0.3">
      <c r="B13" s="7" t="s">
        <v>14</v>
      </c>
      <c r="C13" s="7" t="s">
        <v>15</v>
      </c>
    </row>
    <row r="15" spans="2:3" ht="19.5" customHeight="1" x14ac:dyDescent="0.3">
      <c r="B15" s="16" t="s">
        <v>16</v>
      </c>
      <c r="C15" s="14"/>
    </row>
    <row r="16" spans="2:3" ht="24.75" customHeight="1" x14ac:dyDescent="0.3">
      <c r="B16" s="7" t="s">
        <v>17</v>
      </c>
      <c r="C16" s="7" t="s">
        <v>18</v>
      </c>
    </row>
    <row r="17" spans="2:3" ht="24.75" customHeight="1" x14ac:dyDescent="0.3">
      <c r="B17" s="7" t="s">
        <v>19</v>
      </c>
      <c r="C17" s="7" t="s">
        <v>20</v>
      </c>
    </row>
    <row r="18" spans="2:3" ht="24.75" customHeight="1" x14ac:dyDescent="0.3">
      <c r="B18" s="7" t="s">
        <v>21</v>
      </c>
      <c r="C18" s="7" t="s">
        <v>22</v>
      </c>
    </row>
    <row r="19" spans="2:3" ht="24.75" customHeight="1" x14ac:dyDescent="0.3">
      <c r="B19" s="7" t="s">
        <v>23</v>
      </c>
      <c r="C19" s="7" t="s">
        <v>24</v>
      </c>
    </row>
    <row r="21" spans="2:3" ht="19.5" customHeight="1" x14ac:dyDescent="0.3">
      <c r="B21" s="13" t="s">
        <v>25</v>
      </c>
      <c r="C21" s="14"/>
    </row>
    <row r="22" spans="2:3" x14ac:dyDescent="0.3">
      <c r="B22" s="7" t="s">
        <v>26</v>
      </c>
      <c r="C22" s="7" t="s">
        <v>27</v>
      </c>
    </row>
    <row r="23" spans="2:3" ht="24.75" customHeight="1" x14ac:dyDescent="0.3">
      <c r="B23" s="7" t="s">
        <v>28</v>
      </c>
      <c r="C23" s="7" t="s">
        <v>29</v>
      </c>
    </row>
    <row r="24" spans="2:3" ht="18" customHeight="1" x14ac:dyDescent="0.3">
      <c r="B24" s="7" t="s">
        <v>30</v>
      </c>
      <c r="C24" s="7" t="s">
        <v>31</v>
      </c>
    </row>
    <row r="25" spans="2:3" ht="18" customHeight="1" x14ac:dyDescent="0.3">
      <c r="B25" s="7" t="s">
        <v>32</v>
      </c>
      <c r="C25" s="7" t="s">
        <v>33</v>
      </c>
    </row>
  </sheetData>
  <mergeCells count="6">
    <mergeCell ref="B21:C21"/>
    <mergeCell ref="B2:C2"/>
    <mergeCell ref="B15:C15"/>
    <mergeCell ref="B3:C3"/>
    <mergeCell ref="B5:C5"/>
    <mergeCell ref="B10:C1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G24"/>
  <sheetViews>
    <sheetView showGridLines="0" zoomScaleNormal="100" workbookViewId="0">
      <selection activeCell="H28" sqref="H28"/>
    </sheetView>
  </sheetViews>
  <sheetFormatPr defaultColWidth="8.5546875" defaultRowHeight="14.4" x14ac:dyDescent="0.3"/>
  <cols>
    <col min="1" max="1" width="3" customWidth="1"/>
    <col min="2" max="2" width="24" customWidth="1"/>
    <col min="3" max="3" width="32.88671875" customWidth="1"/>
    <col min="4" max="4" width="18" customWidth="1"/>
    <col min="5" max="5" width="33.44140625" customWidth="1"/>
    <col min="6" max="6" width="18" customWidth="1"/>
    <col min="7" max="7" width="20" customWidth="1"/>
  </cols>
  <sheetData>
    <row r="1" spans="2:7" ht="13.5" customHeight="1" x14ac:dyDescent="0.3"/>
    <row r="2" spans="2:7" ht="36" customHeight="1" x14ac:dyDescent="0.3">
      <c r="B2" s="23" t="s">
        <v>34</v>
      </c>
      <c r="C2" s="21"/>
      <c r="D2" s="21"/>
      <c r="E2" s="21"/>
      <c r="F2" s="21"/>
      <c r="G2" s="14"/>
    </row>
    <row r="3" spans="2:7" ht="19.5" customHeight="1" x14ac:dyDescent="0.3">
      <c r="B3" s="19" t="s">
        <v>35</v>
      </c>
      <c r="C3" s="21"/>
      <c r="D3" s="21"/>
      <c r="E3" s="21"/>
      <c r="F3" s="21"/>
      <c r="G3" s="14"/>
    </row>
    <row r="4" spans="2:7" ht="18" customHeight="1" x14ac:dyDescent="0.3">
      <c r="B4" s="5" t="s">
        <v>36</v>
      </c>
      <c r="C4" s="20" t="s">
        <v>37</v>
      </c>
      <c r="D4" s="21"/>
      <c r="E4" s="21"/>
      <c r="F4" s="21"/>
      <c r="G4" s="21"/>
    </row>
    <row r="5" spans="2:7" ht="18" customHeight="1" x14ac:dyDescent="0.3">
      <c r="B5" s="5" t="s">
        <v>38</v>
      </c>
      <c r="C5" s="20" t="s">
        <v>39</v>
      </c>
      <c r="D5" s="21"/>
      <c r="E5" s="21"/>
      <c r="F5" s="21"/>
      <c r="G5" s="21"/>
    </row>
    <row r="6" spans="2:7" ht="18" customHeight="1" x14ac:dyDescent="0.3">
      <c r="B6" s="5" t="s">
        <v>40</v>
      </c>
      <c r="C6" s="20" t="s">
        <v>41</v>
      </c>
      <c r="D6" s="21"/>
      <c r="E6" s="21"/>
      <c r="F6" s="21"/>
      <c r="G6" s="21"/>
    </row>
    <row r="7" spans="2:7" ht="18" customHeight="1" x14ac:dyDescent="0.3">
      <c r="B7" s="5" t="s">
        <v>42</v>
      </c>
      <c r="C7" s="20" t="s">
        <v>43</v>
      </c>
      <c r="D7" s="21"/>
      <c r="E7" s="21"/>
      <c r="F7" s="21"/>
      <c r="G7" s="21"/>
    </row>
    <row r="8" spans="2:7" ht="18" customHeight="1" x14ac:dyDescent="0.3">
      <c r="B8" s="5" t="s">
        <v>44</v>
      </c>
      <c r="C8" s="20">
        <v>3</v>
      </c>
      <c r="D8" s="21"/>
      <c r="E8" s="21"/>
      <c r="F8" s="21"/>
      <c r="G8" s="21"/>
    </row>
    <row r="10" spans="2:7" ht="19.5" customHeight="1" x14ac:dyDescent="0.3">
      <c r="B10" s="19" t="s">
        <v>45</v>
      </c>
      <c r="C10" s="21"/>
      <c r="D10" s="21"/>
      <c r="E10" s="21"/>
      <c r="F10" s="21"/>
      <c r="G10" s="14"/>
    </row>
    <row r="11" spans="2:7" x14ac:dyDescent="0.3">
      <c r="B11" s="1" t="s">
        <v>46</v>
      </c>
      <c r="C11" s="1" t="s">
        <v>47</v>
      </c>
      <c r="D11" s="1" t="s">
        <v>48</v>
      </c>
      <c r="E11" s="1" t="s">
        <v>49</v>
      </c>
      <c r="F11" s="1" t="s">
        <v>50</v>
      </c>
      <c r="G11" s="1" t="s">
        <v>51</v>
      </c>
    </row>
    <row r="12" spans="2:7" ht="18" customHeight="1" x14ac:dyDescent="0.3">
      <c r="B12" s="2" t="s">
        <v>52</v>
      </c>
      <c r="C12" s="7" t="s">
        <v>53</v>
      </c>
      <c r="D12" s="7" t="s">
        <v>54</v>
      </c>
      <c r="E12" s="10" t="s">
        <v>55</v>
      </c>
      <c r="F12" s="7" t="s">
        <v>56</v>
      </c>
      <c r="G12" s="7"/>
    </row>
    <row r="13" spans="2:7" ht="18" customHeight="1" x14ac:dyDescent="0.3">
      <c r="B13" s="2" t="s">
        <v>57</v>
      </c>
      <c r="C13" s="7" t="s">
        <v>58</v>
      </c>
      <c r="D13" s="7" t="s">
        <v>59</v>
      </c>
      <c r="E13" s="10" t="s">
        <v>60</v>
      </c>
      <c r="F13" s="7" t="s">
        <v>61</v>
      </c>
      <c r="G13" s="7"/>
    </row>
    <row r="14" spans="2:7" ht="18" customHeight="1" x14ac:dyDescent="0.3">
      <c r="B14" s="2" t="s">
        <v>62</v>
      </c>
      <c r="C14" s="7" t="s">
        <v>63</v>
      </c>
      <c r="D14" s="7" t="s">
        <v>64</v>
      </c>
      <c r="E14" s="10" t="s">
        <v>65</v>
      </c>
      <c r="F14" s="7" t="s">
        <v>61</v>
      </c>
      <c r="G14" s="7"/>
    </row>
    <row r="15" spans="2:7" ht="18" customHeight="1" x14ac:dyDescent="0.3">
      <c r="B15" s="2" t="s">
        <v>66</v>
      </c>
      <c r="C15" s="7"/>
      <c r="D15" s="7"/>
      <c r="E15" s="7"/>
      <c r="F15" s="7" t="s">
        <v>61</v>
      </c>
      <c r="G15" s="7"/>
    </row>
    <row r="16" spans="2:7" ht="18" customHeight="1" x14ac:dyDescent="0.3">
      <c r="B16" s="2" t="s">
        <v>67</v>
      </c>
      <c r="C16" s="7"/>
      <c r="D16" s="7"/>
      <c r="E16" s="7"/>
      <c r="F16" s="7" t="s">
        <v>61</v>
      </c>
      <c r="G16" s="7"/>
    </row>
    <row r="18" spans="2:7" ht="19.5" customHeight="1" x14ac:dyDescent="0.3">
      <c r="B18" s="13" t="s">
        <v>68</v>
      </c>
      <c r="C18" s="21"/>
      <c r="D18" s="21"/>
      <c r="E18" s="21"/>
      <c r="F18" s="21"/>
      <c r="G18" s="14"/>
    </row>
    <row r="19" spans="2:7" ht="19.5" customHeight="1" x14ac:dyDescent="0.3">
      <c r="B19" s="6" t="s">
        <v>69</v>
      </c>
      <c r="C19" s="20" t="s">
        <v>70</v>
      </c>
      <c r="D19" s="21"/>
      <c r="E19" s="21"/>
      <c r="F19" s="21"/>
      <c r="G19" s="21"/>
    </row>
    <row r="20" spans="2:7" ht="57" customHeight="1" x14ac:dyDescent="0.3">
      <c r="B20" s="6" t="s">
        <v>71</v>
      </c>
      <c r="C20" s="20" t="s">
        <v>72</v>
      </c>
      <c r="D20" s="21"/>
      <c r="E20" s="21"/>
      <c r="F20" s="21"/>
      <c r="G20" s="21"/>
    </row>
    <row r="21" spans="2:7" ht="65.25" customHeight="1" x14ac:dyDescent="0.3">
      <c r="B21" s="6" t="s">
        <v>73</v>
      </c>
      <c r="C21" s="20" t="s">
        <v>74</v>
      </c>
      <c r="D21" s="21"/>
      <c r="E21" s="21"/>
      <c r="F21" s="21"/>
      <c r="G21" s="21"/>
    </row>
    <row r="22" spans="2:7" ht="19.5" customHeight="1" x14ac:dyDescent="0.3">
      <c r="B22" s="6" t="s">
        <v>75</v>
      </c>
      <c r="C22" s="22" t="s">
        <v>76</v>
      </c>
      <c r="D22" s="21"/>
      <c r="E22" s="21"/>
      <c r="F22" s="21"/>
      <c r="G22" s="21"/>
    </row>
    <row r="23" spans="2:7" ht="19.5" customHeight="1" x14ac:dyDescent="0.3">
      <c r="B23" s="6" t="s">
        <v>77</v>
      </c>
      <c r="C23" s="5"/>
      <c r="D23" s="3"/>
      <c r="E23" s="3"/>
      <c r="F23" s="3"/>
      <c r="G23" s="3"/>
    </row>
    <row r="24" spans="2:7" ht="19.5" customHeight="1" x14ac:dyDescent="0.3">
      <c r="B24" s="6" t="s">
        <v>78</v>
      </c>
      <c r="C24" s="20"/>
      <c r="D24" s="21"/>
      <c r="E24" s="21"/>
      <c r="F24" s="21"/>
      <c r="G24" s="21"/>
    </row>
  </sheetData>
  <mergeCells count="14">
    <mergeCell ref="B3:G3"/>
    <mergeCell ref="B2:G2"/>
    <mergeCell ref="C21:G21"/>
    <mergeCell ref="C4:G4"/>
    <mergeCell ref="C20:G20"/>
    <mergeCell ref="C7:G7"/>
    <mergeCell ref="B10:G10"/>
    <mergeCell ref="C6:G6"/>
    <mergeCell ref="C24:G24"/>
    <mergeCell ref="C5:G5"/>
    <mergeCell ref="C19:G19"/>
    <mergeCell ref="B18:G18"/>
    <mergeCell ref="C22:G22"/>
    <mergeCell ref="C8:G8"/>
  </mergeCells>
  <hyperlinks>
    <hyperlink ref="E12" r:id="rId1"/>
    <hyperlink ref="E13" r:id="rId2"/>
    <hyperlink ref="E14" r:id="rId3"/>
    <hyperlink ref="C22" r:id="rId4"/>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A10" zoomScaleNormal="100" workbookViewId="0">
      <selection activeCell="L9" sqref="L9"/>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t="s">
        <v>91</v>
      </c>
      <c r="C8" s="7" t="s">
        <v>52</v>
      </c>
      <c r="D8" s="12" t="s">
        <v>163</v>
      </c>
      <c r="E8" s="7" t="s">
        <v>92</v>
      </c>
      <c r="F8" s="7" t="s">
        <v>93</v>
      </c>
      <c r="G8" s="7" t="s">
        <v>94</v>
      </c>
      <c r="H8" s="7" t="s">
        <v>95</v>
      </c>
      <c r="I8" s="7" t="s">
        <v>96</v>
      </c>
    </row>
    <row r="9" spans="2:9" ht="18" customHeight="1" x14ac:dyDescent="0.3">
      <c r="B9" s="7" t="s">
        <v>91</v>
      </c>
      <c r="C9" s="7" t="s">
        <v>52</v>
      </c>
      <c r="D9" s="12" t="s">
        <v>163</v>
      </c>
      <c r="E9" s="7" t="s">
        <v>97</v>
      </c>
      <c r="F9" s="7" t="s">
        <v>98</v>
      </c>
      <c r="G9" s="7" t="s">
        <v>99</v>
      </c>
      <c r="H9" s="7" t="s">
        <v>100</v>
      </c>
      <c r="I9" s="7" t="s">
        <v>101</v>
      </c>
    </row>
    <row r="10" spans="2:9" ht="18" customHeight="1" x14ac:dyDescent="0.3">
      <c r="B10" s="40">
        <v>46196</v>
      </c>
      <c r="C10" s="7" t="s">
        <v>52</v>
      </c>
      <c r="D10" s="12" t="s">
        <v>245</v>
      </c>
      <c r="E10" s="7" t="s">
        <v>102</v>
      </c>
      <c r="F10" s="7" t="s">
        <v>103</v>
      </c>
      <c r="G10" s="7" t="s">
        <v>99</v>
      </c>
      <c r="H10" s="7" t="s">
        <v>104</v>
      </c>
      <c r="I10" s="7" t="s">
        <v>105</v>
      </c>
    </row>
    <row r="11" spans="2:9" ht="18" customHeight="1" x14ac:dyDescent="0.3">
      <c r="B11" s="40">
        <v>46196</v>
      </c>
      <c r="C11" s="12" t="s">
        <v>57</v>
      </c>
      <c r="D11" s="12" t="s">
        <v>245</v>
      </c>
      <c r="E11" t="s">
        <v>280</v>
      </c>
      <c r="F11" s="12" t="s">
        <v>281</v>
      </c>
      <c r="G11" t="s">
        <v>94</v>
      </c>
      <c r="H11" s="12" t="s">
        <v>282</v>
      </c>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t="s">
        <v>52</v>
      </c>
      <c r="D21" s="7" t="s">
        <v>111</v>
      </c>
      <c r="E21" s="7"/>
      <c r="F21" s="7"/>
      <c r="G21" s="7" t="s">
        <v>93</v>
      </c>
      <c r="H21" s="7"/>
      <c r="I21" s="7" t="s">
        <v>112</v>
      </c>
    </row>
    <row r="22" spans="2:9" ht="18" customHeight="1" x14ac:dyDescent="0.3">
      <c r="B22" s="7"/>
      <c r="C22" s="12" t="s">
        <v>57</v>
      </c>
      <c r="D22" s="7" t="s">
        <v>113</v>
      </c>
      <c r="E22" s="7"/>
      <c r="F22" s="7"/>
      <c r="G22" s="7" t="s">
        <v>114</v>
      </c>
      <c r="H22" s="7"/>
      <c r="I22" s="7" t="s">
        <v>115</v>
      </c>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t="s">
        <v>52</v>
      </c>
      <c r="D25" s="7" t="s">
        <v>117</v>
      </c>
      <c r="E25" s="7"/>
      <c r="F25" s="7"/>
      <c r="G25" s="7" t="s">
        <v>118</v>
      </c>
      <c r="H25" s="7"/>
      <c r="I25" s="7" t="s">
        <v>119</v>
      </c>
    </row>
    <row r="26" spans="2:9" ht="18" customHeight="1" x14ac:dyDescent="0.3">
      <c r="B26" s="7"/>
      <c r="C26" s="12" t="s">
        <v>57</v>
      </c>
      <c r="D26" s="12" t="s">
        <v>267</v>
      </c>
      <c r="E26" s="7"/>
      <c r="F26" s="7"/>
      <c r="G26" s="12" t="s">
        <v>268</v>
      </c>
      <c r="H26" s="7"/>
      <c r="I26" s="12" t="s">
        <v>269</v>
      </c>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128</v>
      </c>
      <c r="C40" s="21"/>
      <c r="D40" s="14"/>
      <c r="E40" s="25" t="s">
        <v>129</v>
      </c>
      <c r="F40" s="21"/>
      <c r="G40" s="21"/>
      <c r="H40" s="21"/>
      <c r="I40" s="14"/>
    </row>
    <row r="41" spans="2:9" ht="21.75" customHeight="1" x14ac:dyDescent="0.3">
      <c r="B41" s="34" t="s">
        <v>130</v>
      </c>
      <c r="C41" s="21"/>
      <c r="D41" s="14"/>
      <c r="E41" s="25" t="s">
        <v>131</v>
      </c>
      <c r="F41" s="21"/>
      <c r="G41" s="21"/>
      <c r="H41" s="21"/>
      <c r="I41" s="14"/>
    </row>
    <row r="42" spans="2:9" ht="21.75" customHeight="1" x14ac:dyDescent="0.3">
      <c r="B42" s="34" t="s">
        <v>132</v>
      </c>
      <c r="C42" s="21"/>
      <c r="D42" s="14"/>
      <c r="E42" s="25" t="s">
        <v>133</v>
      </c>
      <c r="F42" s="21"/>
      <c r="G42" s="21"/>
      <c r="H42" s="21"/>
      <c r="I42" s="14"/>
    </row>
    <row r="43" spans="2:9" ht="21.75" customHeight="1" x14ac:dyDescent="0.3">
      <c r="B43" s="34" t="s">
        <v>134</v>
      </c>
      <c r="C43" s="21"/>
      <c r="D43" s="14"/>
      <c r="E43" s="25" t="s">
        <v>135</v>
      </c>
      <c r="F43" s="21"/>
      <c r="G43" s="21"/>
      <c r="H43" s="21"/>
      <c r="I43" s="14"/>
    </row>
    <row r="44" spans="2:9" ht="21.75" customHeight="1" x14ac:dyDescent="0.3">
      <c r="B44" s="43" t="s">
        <v>270</v>
      </c>
      <c r="C44" s="21"/>
      <c r="D44" s="14"/>
      <c r="E44" s="44" t="s">
        <v>271</v>
      </c>
      <c r="F44" s="21"/>
      <c r="G44" s="21"/>
      <c r="H44" s="21"/>
      <c r="I44" s="14"/>
    </row>
    <row r="45" spans="2:9" ht="21.75" customHeight="1" x14ac:dyDescent="0.3">
      <c r="B45" s="34" t="s">
        <v>130</v>
      </c>
      <c r="C45" s="21"/>
      <c r="D45" s="14"/>
      <c r="E45" s="44" t="s">
        <v>272</v>
      </c>
      <c r="F45" s="21"/>
      <c r="G45" s="21"/>
      <c r="H45" s="21"/>
      <c r="I45" s="14"/>
    </row>
    <row r="46" spans="2:9" ht="21.75" customHeight="1" x14ac:dyDescent="0.3">
      <c r="B46" s="34" t="s">
        <v>132</v>
      </c>
      <c r="C46" s="21"/>
      <c r="D46" s="14"/>
      <c r="E46" s="44" t="s">
        <v>273</v>
      </c>
      <c r="F46" s="21"/>
      <c r="G46" s="21"/>
      <c r="H46" s="21"/>
      <c r="I46" s="14"/>
    </row>
    <row r="47" spans="2:9" ht="21.75" customHeight="1" x14ac:dyDescent="0.3">
      <c r="B47" s="34" t="s">
        <v>134</v>
      </c>
      <c r="C47" s="21"/>
      <c r="D47" s="14"/>
      <c r="E47" s="44" t="s">
        <v>274</v>
      </c>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143</v>
      </c>
      <c r="F60" s="27"/>
      <c r="G60" s="27"/>
      <c r="H60" s="27"/>
      <c r="I60" s="27"/>
    </row>
    <row r="61" spans="2:9" ht="18" customHeight="1" x14ac:dyDescent="0.3">
      <c r="B61" s="28" t="s">
        <v>144</v>
      </c>
      <c r="C61" s="21"/>
      <c r="D61" s="14"/>
      <c r="E61" s="30" t="s">
        <v>145</v>
      </c>
      <c r="F61" s="27"/>
      <c r="G61" s="27"/>
      <c r="H61" s="27"/>
      <c r="I61" s="27"/>
    </row>
    <row r="62" spans="2:9" ht="18" customHeight="1" x14ac:dyDescent="0.3">
      <c r="B62" s="28" t="s">
        <v>146</v>
      </c>
      <c r="C62" s="21"/>
      <c r="D62" s="14"/>
      <c r="E62" s="30" t="s">
        <v>147</v>
      </c>
      <c r="F62" s="27"/>
      <c r="G62" s="27"/>
      <c r="H62" s="27"/>
      <c r="I62" s="27"/>
    </row>
    <row r="63" spans="2:9" ht="18" customHeight="1" x14ac:dyDescent="0.3">
      <c r="B63" s="28" t="s">
        <v>148</v>
      </c>
      <c r="C63" s="21"/>
      <c r="D63" s="14"/>
      <c r="E63" s="30" t="s">
        <v>149</v>
      </c>
      <c r="F63" s="27"/>
      <c r="G63" s="27"/>
      <c r="H63" s="27"/>
      <c r="I63" s="27"/>
    </row>
    <row r="64" spans="2:9" ht="18" customHeight="1" x14ac:dyDescent="0.3">
      <c r="B64" s="28" t="s">
        <v>150</v>
      </c>
      <c r="C64" s="21"/>
      <c r="D64" s="14"/>
      <c r="E64" s="30" t="s">
        <v>151</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45" t="s">
        <v>275</v>
      </c>
      <c r="F67" s="27"/>
      <c r="G67" s="27"/>
      <c r="H67" s="27"/>
      <c r="I67" s="27"/>
    </row>
    <row r="68" spans="2:9" ht="18" customHeight="1" x14ac:dyDescent="0.3">
      <c r="B68" s="28" t="s">
        <v>144</v>
      </c>
      <c r="C68" s="21"/>
      <c r="D68" s="14"/>
      <c r="E68" s="45" t="s">
        <v>276</v>
      </c>
      <c r="F68" s="27"/>
      <c r="G68" s="27"/>
      <c r="H68" s="27"/>
      <c r="I68" s="27"/>
    </row>
    <row r="69" spans="2:9" ht="18" customHeight="1" x14ac:dyDescent="0.3">
      <c r="B69" s="28" t="s">
        <v>146</v>
      </c>
      <c r="C69" s="21"/>
      <c r="D69" s="14"/>
      <c r="E69" s="45" t="s">
        <v>277</v>
      </c>
      <c r="F69" s="27"/>
      <c r="G69" s="27"/>
      <c r="H69" s="27"/>
      <c r="I69" s="27"/>
    </row>
    <row r="70" spans="2:9" ht="18" customHeight="1" x14ac:dyDescent="0.3">
      <c r="B70" s="28" t="s">
        <v>148</v>
      </c>
      <c r="C70" s="21"/>
      <c r="D70" s="14"/>
      <c r="E70" s="45" t="s">
        <v>278</v>
      </c>
      <c r="F70" s="27"/>
      <c r="G70" s="27"/>
      <c r="H70" s="27"/>
      <c r="I70" s="27"/>
    </row>
    <row r="71" spans="2:9" ht="18" customHeight="1" x14ac:dyDescent="0.3">
      <c r="B71" s="28" t="s">
        <v>150</v>
      </c>
      <c r="C71" s="21"/>
      <c r="D71" s="14"/>
      <c r="E71" s="45" t="s">
        <v>279</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161</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abSelected="1" topLeftCell="A48" zoomScale="85" zoomScaleNormal="85" workbookViewId="0">
      <selection activeCell="E64" sqref="E64:I64"/>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t="s">
        <v>162</v>
      </c>
      <c r="C8" s="7" t="s">
        <v>52</v>
      </c>
      <c r="D8" s="7" t="s">
        <v>163</v>
      </c>
      <c r="E8" s="7" t="s">
        <v>164</v>
      </c>
      <c r="F8" s="7" t="s">
        <v>165</v>
      </c>
      <c r="G8" s="7" t="s">
        <v>99</v>
      </c>
      <c r="H8" s="7" t="s">
        <v>166</v>
      </c>
      <c r="I8" s="7" t="s">
        <v>167</v>
      </c>
    </row>
    <row r="9" spans="2:9" ht="18" customHeight="1" x14ac:dyDescent="0.3">
      <c r="B9" s="40">
        <v>46197</v>
      </c>
      <c r="C9" s="7" t="s">
        <v>52</v>
      </c>
      <c r="D9" s="7" t="s">
        <v>163</v>
      </c>
      <c r="E9" s="7" t="s">
        <v>168</v>
      </c>
      <c r="F9" s="7" t="s">
        <v>169</v>
      </c>
      <c r="G9" s="7" t="s">
        <v>170</v>
      </c>
      <c r="H9" s="7" t="s">
        <v>171</v>
      </c>
      <c r="I9" s="7" t="s">
        <v>172</v>
      </c>
    </row>
    <row r="10" spans="2:9" ht="18" customHeight="1" x14ac:dyDescent="0.3">
      <c r="B10" s="40">
        <v>46197</v>
      </c>
      <c r="C10" s="7" t="s">
        <v>57</v>
      </c>
      <c r="D10" s="7" t="s">
        <v>246</v>
      </c>
      <c r="E10" s="7" t="s">
        <v>247</v>
      </c>
      <c r="F10" s="12" t="s">
        <v>251</v>
      </c>
      <c r="G10" s="7" t="s">
        <v>99</v>
      </c>
      <c r="H10" s="7" t="s">
        <v>248</v>
      </c>
      <c r="I10" s="41" t="s">
        <v>249</v>
      </c>
    </row>
    <row r="11" spans="2:9" ht="18" customHeight="1" x14ac:dyDescent="0.3">
      <c r="B11" s="40">
        <v>46197</v>
      </c>
      <c r="C11" s="7" t="s">
        <v>57</v>
      </c>
      <c r="D11" s="12" t="s">
        <v>246</v>
      </c>
      <c r="E11" s="42" t="s">
        <v>250</v>
      </c>
      <c r="F11" s="12" t="s">
        <v>252</v>
      </c>
      <c r="G11" s="12" t="s">
        <v>99</v>
      </c>
      <c r="H11" s="12" t="s">
        <v>253</v>
      </c>
      <c r="I11" s="41" t="s">
        <v>249</v>
      </c>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t="s">
        <v>52</v>
      </c>
      <c r="D21" s="7" t="s">
        <v>173</v>
      </c>
      <c r="E21" s="7"/>
      <c r="F21" s="7"/>
      <c r="G21" s="7" t="s">
        <v>174</v>
      </c>
      <c r="H21" s="7"/>
      <c r="I21" s="7" t="s">
        <v>175</v>
      </c>
    </row>
    <row r="22" spans="2:9" ht="18" customHeight="1" x14ac:dyDescent="0.3">
      <c r="B22" s="7"/>
      <c r="C22" s="7" t="s">
        <v>52</v>
      </c>
      <c r="D22" s="7" t="s">
        <v>176</v>
      </c>
      <c r="E22" s="7"/>
      <c r="F22" s="7"/>
      <c r="G22" s="7" t="s">
        <v>177</v>
      </c>
      <c r="H22" s="7"/>
      <c r="I22" s="7" t="s">
        <v>178</v>
      </c>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12" t="s">
        <v>57</v>
      </c>
      <c r="D25" s="12" t="s">
        <v>254</v>
      </c>
      <c r="E25" s="7"/>
      <c r="F25" s="7"/>
      <c r="G25" t="s">
        <v>255</v>
      </c>
      <c r="H25" s="7"/>
      <c r="I25" s="12" t="s">
        <v>256</v>
      </c>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179</v>
      </c>
      <c r="C40" s="21"/>
      <c r="D40" s="14"/>
      <c r="E40" s="25" t="s">
        <v>180</v>
      </c>
      <c r="F40" s="21"/>
      <c r="G40" s="21"/>
      <c r="H40" s="21"/>
      <c r="I40" s="14"/>
    </row>
    <row r="41" spans="2:9" ht="21.75" customHeight="1" x14ac:dyDescent="0.3">
      <c r="B41" s="34" t="s">
        <v>130</v>
      </c>
      <c r="C41" s="21"/>
      <c r="D41" s="14"/>
      <c r="E41" s="25" t="s">
        <v>181</v>
      </c>
      <c r="F41" s="21"/>
      <c r="G41" s="21"/>
      <c r="H41" s="21"/>
      <c r="I41" s="14"/>
    </row>
    <row r="42" spans="2:9" ht="21.75" customHeight="1" x14ac:dyDescent="0.3">
      <c r="B42" s="34" t="s">
        <v>132</v>
      </c>
      <c r="C42" s="21"/>
      <c r="D42" s="14"/>
      <c r="E42" s="25" t="s">
        <v>182</v>
      </c>
      <c r="F42" s="21"/>
      <c r="G42" s="21"/>
      <c r="H42" s="21"/>
      <c r="I42" s="14"/>
    </row>
    <row r="43" spans="2:9" ht="21.75" customHeight="1" x14ac:dyDescent="0.3">
      <c r="B43" s="34" t="s">
        <v>134</v>
      </c>
      <c r="C43" s="21"/>
      <c r="D43" s="14"/>
      <c r="E43" s="25" t="s">
        <v>183</v>
      </c>
      <c r="F43" s="21"/>
      <c r="G43" s="21"/>
      <c r="H43" s="21"/>
      <c r="I43" s="14"/>
    </row>
    <row r="44" spans="2:9" ht="21.75" customHeight="1" x14ac:dyDescent="0.3">
      <c r="B44" s="43" t="s">
        <v>257</v>
      </c>
      <c r="C44" s="21"/>
      <c r="D44" s="14"/>
      <c r="E44" s="44" t="s">
        <v>258</v>
      </c>
      <c r="F44" s="21"/>
      <c r="G44" s="21"/>
      <c r="H44" s="21"/>
      <c r="I44" s="14"/>
    </row>
    <row r="45" spans="2:9" ht="21.75" customHeight="1" x14ac:dyDescent="0.3">
      <c r="B45" s="34" t="s">
        <v>130</v>
      </c>
      <c r="C45" s="21"/>
      <c r="D45" s="14"/>
      <c r="E45" s="44" t="s">
        <v>259</v>
      </c>
      <c r="F45" s="21"/>
      <c r="G45" s="21"/>
      <c r="H45" s="21"/>
      <c r="I45" s="14"/>
    </row>
    <row r="46" spans="2:9" ht="21.75" customHeight="1" x14ac:dyDescent="0.3">
      <c r="B46" s="34" t="s">
        <v>132</v>
      </c>
      <c r="C46" s="21"/>
      <c r="D46" s="14"/>
      <c r="E46" s="44" t="s">
        <v>260</v>
      </c>
      <c r="F46" s="21"/>
      <c r="G46" s="21"/>
      <c r="H46" s="21"/>
      <c r="I46" s="14"/>
    </row>
    <row r="47" spans="2:9" ht="21.75" customHeight="1" x14ac:dyDescent="0.3">
      <c r="B47" s="34" t="s">
        <v>134</v>
      </c>
      <c r="C47" s="21"/>
      <c r="D47" s="14"/>
      <c r="E47" s="44" t="s">
        <v>261</v>
      </c>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184</v>
      </c>
      <c r="F60" s="27"/>
      <c r="G60" s="27"/>
      <c r="H60" s="27"/>
      <c r="I60" s="27"/>
    </row>
    <row r="61" spans="2:9" ht="18" customHeight="1" x14ac:dyDescent="0.3">
      <c r="B61" s="28" t="s">
        <v>144</v>
      </c>
      <c r="C61" s="21"/>
      <c r="D61" s="14"/>
      <c r="E61" s="30" t="s">
        <v>185</v>
      </c>
      <c r="F61" s="27"/>
      <c r="G61" s="27"/>
      <c r="H61" s="27"/>
      <c r="I61" s="27"/>
    </row>
    <row r="62" spans="2:9" ht="18" customHeight="1" x14ac:dyDescent="0.3">
      <c r="B62" s="28" t="s">
        <v>146</v>
      </c>
      <c r="C62" s="21"/>
      <c r="D62" s="14"/>
      <c r="E62" s="30" t="s">
        <v>186</v>
      </c>
      <c r="F62" s="27"/>
      <c r="G62" s="27"/>
      <c r="H62" s="27"/>
      <c r="I62" s="27"/>
    </row>
    <row r="63" spans="2:9" ht="18" customHeight="1" x14ac:dyDescent="0.3">
      <c r="B63" s="28" t="s">
        <v>148</v>
      </c>
      <c r="C63" s="21"/>
      <c r="D63" s="14"/>
      <c r="E63" s="30" t="s">
        <v>187</v>
      </c>
      <c r="F63" s="27"/>
      <c r="G63" s="27"/>
      <c r="H63" s="27"/>
      <c r="I63" s="27"/>
    </row>
    <row r="64" spans="2:9" ht="18" customHeight="1" x14ac:dyDescent="0.3">
      <c r="B64" s="28" t="s">
        <v>150</v>
      </c>
      <c r="C64" s="21"/>
      <c r="D64" s="14"/>
      <c r="E64" s="30" t="s">
        <v>188</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45" t="s">
        <v>262</v>
      </c>
      <c r="F67" s="27"/>
      <c r="G67" s="27"/>
      <c r="H67" s="27"/>
      <c r="I67" s="27"/>
    </row>
    <row r="68" spans="2:9" ht="18" customHeight="1" x14ac:dyDescent="0.3">
      <c r="B68" s="28" t="s">
        <v>144</v>
      </c>
      <c r="C68" s="21"/>
      <c r="D68" s="14"/>
      <c r="E68" s="45" t="s">
        <v>263</v>
      </c>
      <c r="F68" s="27"/>
      <c r="G68" s="27"/>
      <c r="H68" s="27"/>
      <c r="I68" s="27"/>
    </row>
    <row r="69" spans="2:9" ht="18" customHeight="1" x14ac:dyDescent="0.3">
      <c r="B69" s="28" t="s">
        <v>146</v>
      </c>
      <c r="C69" s="21"/>
      <c r="D69" s="14"/>
      <c r="E69" s="45" t="s">
        <v>264</v>
      </c>
      <c r="F69" s="27"/>
      <c r="G69" s="27"/>
      <c r="H69" s="27"/>
      <c r="I69" s="27"/>
    </row>
    <row r="70" spans="2:9" ht="18" customHeight="1" x14ac:dyDescent="0.3">
      <c r="B70" s="28" t="s">
        <v>148</v>
      </c>
      <c r="C70" s="21"/>
      <c r="D70" s="14"/>
      <c r="E70" s="45" t="s">
        <v>265</v>
      </c>
      <c r="F70" s="27"/>
      <c r="G70" s="27"/>
      <c r="H70" s="27"/>
      <c r="I70" s="27"/>
    </row>
    <row r="71" spans="2:9" ht="18" customHeight="1" x14ac:dyDescent="0.3">
      <c r="B71" s="28" t="s">
        <v>150</v>
      </c>
      <c r="C71" s="21"/>
      <c r="D71" s="14"/>
      <c r="E71" s="45" t="s">
        <v>266</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189</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hyperlinks>
    <hyperlink ref="I10" r:id="rId1"/>
    <hyperlink ref="I11" r:id="rId2"/>
  </hyperlinks>
  <pageMargins left="0.75" right="0.75" top="1" bottom="1" header="0.511811023622047" footer="0.511811023622047"/>
  <pageSetup paperSize="9" orientation="portrait" horizontalDpi="300" verticalDpi="300"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A4" zoomScale="85" zoomScaleNormal="85" workbookViewId="0">
      <selection activeCell="M72" sqref="M72"/>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t="s">
        <v>190</v>
      </c>
      <c r="C8" s="7" t="s">
        <v>52</v>
      </c>
      <c r="D8" s="12" t="s">
        <v>163</v>
      </c>
      <c r="E8" s="7" t="s">
        <v>191</v>
      </c>
      <c r="F8" s="7" t="s">
        <v>192</v>
      </c>
      <c r="G8" s="7" t="s">
        <v>99</v>
      </c>
      <c r="H8" s="7" t="s">
        <v>193</v>
      </c>
      <c r="I8" s="7" t="s">
        <v>194</v>
      </c>
    </row>
    <row r="9" spans="2:9" ht="18" customHeight="1" x14ac:dyDescent="0.3">
      <c r="B9" s="7" t="s">
        <v>190</v>
      </c>
      <c r="C9" s="7" t="s">
        <v>52</v>
      </c>
      <c r="D9" s="12" t="s">
        <v>163</v>
      </c>
      <c r="E9" s="7" t="s">
        <v>195</v>
      </c>
      <c r="F9" s="7" t="s">
        <v>192</v>
      </c>
      <c r="G9" s="7" t="s">
        <v>170</v>
      </c>
      <c r="H9" s="7" t="s">
        <v>196</v>
      </c>
      <c r="I9" s="7" t="s">
        <v>194</v>
      </c>
    </row>
    <row r="10" spans="2:9" ht="18" customHeight="1" x14ac:dyDescent="0.3">
      <c r="B10" s="11" t="s">
        <v>190</v>
      </c>
      <c r="C10" s="12" t="s">
        <v>57</v>
      </c>
      <c r="D10" s="12" t="s">
        <v>163</v>
      </c>
      <c r="E10" t="s">
        <v>283</v>
      </c>
      <c r="F10" s="12" t="s">
        <v>284</v>
      </c>
      <c r="G10" s="11" t="s">
        <v>99</v>
      </c>
      <c r="H10" s="12" t="s">
        <v>285</v>
      </c>
      <c r="I10" s="12" t="s">
        <v>286</v>
      </c>
    </row>
    <row r="11" spans="2:9" ht="18" customHeight="1" x14ac:dyDescent="0.3">
      <c r="B11" s="11" t="s">
        <v>190</v>
      </c>
      <c r="C11" s="12" t="s">
        <v>57</v>
      </c>
      <c r="D11" s="12" t="s">
        <v>163</v>
      </c>
      <c r="E11" s="12" t="s">
        <v>287</v>
      </c>
      <c r="F11" s="12" t="s">
        <v>288</v>
      </c>
      <c r="G11" s="12" t="s">
        <v>99</v>
      </c>
      <c r="H11" s="12" t="s">
        <v>289</v>
      </c>
      <c r="I11" s="12" t="s">
        <v>290</v>
      </c>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t="s">
        <v>52</v>
      </c>
      <c r="D25" s="7" t="s">
        <v>197</v>
      </c>
      <c r="E25" s="7"/>
      <c r="F25" s="7"/>
      <c r="G25" s="7" t="s">
        <v>192</v>
      </c>
      <c r="H25" s="7"/>
      <c r="I25" s="7" t="s">
        <v>198</v>
      </c>
    </row>
    <row r="26" spans="2:9" ht="18" customHeight="1" x14ac:dyDescent="0.3">
      <c r="B26" s="7"/>
      <c r="C26" s="7" t="s">
        <v>52</v>
      </c>
      <c r="D26" s="7" t="s">
        <v>199</v>
      </c>
      <c r="E26" s="7"/>
      <c r="F26" s="7"/>
      <c r="G26" s="7" t="s">
        <v>200</v>
      </c>
      <c r="H26" s="7"/>
      <c r="I26" s="7" t="s">
        <v>201</v>
      </c>
    </row>
    <row r="27" spans="2:9" ht="18" customHeight="1" x14ac:dyDescent="0.3">
      <c r="B27" s="7"/>
      <c r="C27" s="12" t="s">
        <v>57</v>
      </c>
      <c r="D27" s="12" t="s">
        <v>291</v>
      </c>
      <c r="E27" s="7"/>
      <c r="F27" s="7"/>
      <c r="G27" s="12" t="s">
        <v>292</v>
      </c>
      <c r="H27" s="7"/>
      <c r="I27" s="12" t="s">
        <v>293</v>
      </c>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128</v>
      </c>
      <c r="C40" s="21"/>
      <c r="D40" s="14"/>
      <c r="E40" s="25" t="s">
        <v>202</v>
      </c>
      <c r="F40" s="21"/>
      <c r="G40" s="21"/>
      <c r="H40" s="21"/>
      <c r="I40" s="14"/>
    </row>
    <row r="41" spans="2:9" ht="21.75" customHeight="1" x14ac:dyDescent="0.3">
      <c r="B41" s="34" t="s">
        <v>130</v>
      </c>
      <c r="C41" s="21"/>
      <c r="D41" s="14"/>
      <c r="E41" s="25" t="s">
        <v>203</v>
      </c>
      <c r="F41" s="21"/>
      <c r="G41" s="21"/>
      <c r="H41" s="21"/>
      <c r="I41" s="14"/>
    </row>
    <row r="42" spans="2:9" ht="21.75" customHeight="1" x14ac:dyDescent="0.3">
      <c r="B42" s="34" t="s">
        <v>132</v>
      </c>
      <c r="C42" s="21"/>
      <c r="D42" s="14"/>
      <c r="E42" s="25" t="s">
        <v>204</v>
      </c>
      <c r="F42" s="21"/>
      <c r="G42" s="21"/>
      <c r="H42" s="21"/>
      <c r="I42" s="14"/>
    </row>
    <row r="43" spans="2:9" ht="21.75" customHeight="1" x14ac:dyDescent="0.3">
      <c r="B43" s="34" t="s">
        <v>134</v>
      </c>
      <c r="C43" s="21"/>
      <c r="D43" s="14"/>
      <c r="E43" s="25" t="s">
        <v>205</v>
      </c>
      <c r="F43" s="21"/>
      <c r="G43" s="21"/>
      <c r="H43" s="21"/>
      <c r="I43" s="14"/>
    </row>
    <row r="44" spans="2:9" ht="21.75" customHeight="1" x14ac:dyDescent="0.3">
      <c r="B44" s="43" t="s">
        <v>297</v>
      </c>
      <c r="C44" s="21"/>
      <c r="D44" s="14"/>
      <c r="E44" s="44" t="s">
        <v>294</v>
      </c>
      <c r="F44" s="21"/>
      <c r="G44" s="21"/>
      <c r="H44" s="21"/>
      <c r="I44" s="14"/>
    </row>
    <row r="45" spans="2:9" ht="21.75" customHeight="1" x14ac:dyDescent="0.3">
      <c r="B45" s="34" t="s">
        <v>130</v>
      </c>
      <c r="C45" s="21"/>
      <c r="D45" s="14"/>
      <c r="E45" s="44" t="s">
        <v>295</v>
      </c>
      <c r="F45" s="21"/>
      <c r="G45" s="21"/>
      <c r="H45" s="21"/>
      <c r="I45" s="14"/>
    </row>
    <row r="46" spans="2:9" ht="21.75" customHeight="1" x14ac:dyDescent="0.3">
      <c r="B46" s="34" t="s">
        <v>132</v>
      </c>
      <c r="C46" s="21"/>
      <c r="D46" s="14"/>
      <c r="E46" s="44" t="s">
        <v>296</v>
      </c>
      <c r="F46" s="21"/>
      <c r="G46" s="21"/>
      <c r="H46" s="21"/>
      <c r="I46" s="14"/>
    </row>
    <row r="47" spans="2:9" ht="21.75" customHeight="1" x14ac:dyDescent="0.3">
      <c r="B47" s="34" t="s">
        <v>134</v>
      </c>
      <c r="C47" s="21"/>
      <c r="D47" s="14"/>
      <c r="E47" s="44" t="s">
        <v>298</v>
      </c>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206</v>
      </c>
      <c r="F60" s="27"/>
      <c r="G60" s="27"/>
      <c r="H60" s="27"/>
      <c r="I60" s="27"/>
    </row>
    <row r="61" spans="2:9" ht="18" customHeight="1" x14ac:dyDescent="0.3">
      <c r="B61" s="28" t="s">
        <v>144</v>
      </c>
      <c r="C61" s="21"/>
      <c r="D61" s="14"/>
      <c r="E61" s="30" t="s">
        <v>207</v>
      </c>
      <c r="F61" s="27"/>
      <c r="G61" s="27"/>
      <c r="H61" s="27"/>
      <c r="I61" s="27"/>
    </row>
    <row r="62" spans="2:9" ht="18" customHeight="1" x14ac:dyDescent="0.3">
      <c r="B62" s="28" t="s">
        <v>146</v>
      </c>
      <c r="C62" s="21"/>
      <c r="D62" s="14"/>
      <c r="E62" s="30" t="s">
        <v>208</v>
      </c>
      <c r="F62" s="27"/>
      <c r="G62" s="27"/>
      <c r="H62" s="27"/>
      <c r="I62" s="27"/>
    </row>
    <row r="63" spans="2:9" ht="18" customHeight="1" x14ac:dyDescent="0.3">
      <c r="B63" s="28" t="s">
        <v>148</v>
      </c>
      <c r="C63" s="21"/>
      <c r="D63" s="14"/>
      <c r="E63" s="30" t="s">
        <v>209</v>
      </c>
      <c r="F63" s="27"/>
      <c r="G63" s="27"/>
      <c r="H63" s="27"/>
      <c r="I63" s="27"/>
    </row>
    <row r="64" spans="2:9" ht="18" customHeight="1" x14ac:dyDescent="0.3">
      <c r="B64" s="28" t="s">
        <v>150</v>
      </c>
      <c r="C64" s="21"/>
      <c r="D64" s="14"/>
      <c r="E64" s="30" t="s">
        <v>210</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45" t="s">
        <v>299</v>
      </c>
      <c r="F67" s="27"/>
      <c r="G67" s="27"/>
      <c r="H67" s="27"/>
      <c r="I67" s="27"/>
    </row>
    <row r="68" spans="2:9" ht="18" customHeight="1" x14ac:dyDescent="0.3">
      <c r="B68" s="28" t="s">
        <v>144</v>
      </c>
      <c r="C68" s="21"/>
      <c r="D68" s="14"/>
      <c r="E68" s="45" t="s">
        <v>300</v>
      </c>
      <c r="F68" s="27"/>
      <c r="G68" s="27"/>
      <c r="H68" s="27"/>
      <c r="I68" s="27"/>
    </row>
    <row r="69" spans="2:9" ht="18" customHeight="1" x14ac:dyDescent="0.3">
      <c r="B69" s="28" t="s">
        <v>146</v>
      </c>
      <c r="C69" s="21"/>
      <c r="D69" s="14"/>
      <c r="E69" s="45" t="s">
        <v>301</v>
      </c>
      <c r="F69" s="27"/>
      <c r="G69" s="27"/>
      <c r="H69" s="27"/>
      <c r="I69" s="27"/>
    </row>
    <row r="70" spans="2:9" ht="18" customHeight="1" x14ac:dyDescent="0.3">
      <c r="B70" s="28" t="s">
        <v>148</v>
      </c>
      <c r="C70" s="21"/>
      <c r="D70" s="14"/>
      <c r="E70" s="45" t="s">
        <v>302</v>
      </c>
      <c r="F70" s="27"/>
      <c r="G70" s="27"/>
      <c r="H70" s="27"/>
      <c r="I70" s="27"/>
    </row>
    <row r="71" spans="2:9" ht="18" customHeight="1" x14ac:dyDescent="0.3">
      <c r="B71" s="28" t="s">
        <v>150</v>
      </c>
      <c r="C71" s="21"/>
      <c r="D71" s="14"/>
      <c r="E71" s="45" t="s">
        <v>303</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211</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zoomScaleNormal="100" workbookViewId="0">
      <selection activeCell="E71" sqref="E71:I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213</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214</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215</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216</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217</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E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218</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showGridLines="0" topLeftCell="E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31" t="s">
        <v>79</v>
      </c>
      <c r="C2" s="21"/>
      <c r="D2" s="21"/>
      <c r="E2" s="21"/>
      <c r="F2" s="21"/>
      <c r="G2" s="21"/>
      <c r="H2" s="21"/>
      <c r="I2" s="14"/>
    </row>
    <row r="3" spans="2:9" ht="15.75" customHeight="1" x14ac:dyDescent="0.3">
      <c r="B3" s="26" t="s">
        <v>80</v>
      </c>
      <c r="C3" s="27"/>
      <c r="D3" s="27"/>
      <c r="E3" s="27"/>
      <c r="F3" s="27"/>
      <c r="G3" s="27"/>
      <c r="H3" s="27"/>
      <c r="I3" s="27"/>
    </row>
    <row r="5" spans="2:9" ht="21.75" customHeight="1" x14ac:dyDescent="0.3">
      <c r="B5" s="19" t="s">
        <v>81</v>
      </c>
      <c r="C5" s="21"/>
      <c r="D5" s="21"/>
      <c r="E5" s="21"/>
      <c r="F5" s="21"/>
      <c r="G5" s="21"/>
      <c r="H5" s="21"/>
      <c r="I5" s="14"/>
    </row>
    <row r="6" spans="2:9" ht="13.5" customHeight="1" x14ac:dyDescent="0.3">
      <c r="B6" s="29" t="s">
        <v>82</v>
      </c>
      <c r="C6" s="27"/>
      <c r="D6" s="27"/>
      <c r="E6" s="27"/>
      <c r="F6" s="27"/>
      <c r="G6" s="27"/>
      <c r="H6" s="27"/>
      <c r="I6" s="27"/>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3" t="s">
        <v>106</v>
      </c>
      <c r="C17" s="21"/>
      <c r="D17" s="21"/>
      <c r="E17" s="21"/>
      <c r="F17" s="21"/>
      <c r="G17" s="21"/>
      <c r="H17" s="21"/>
      <c r="I17" s="14"/>
    </row>
    <row r="18" spans="2:9" ht="13.5" customHeight="1" x14ac:dyDescent="0.3">
      <c r="B18" s="29" t="s">
        <v>31</v>
      </c>
      <c r="C18" s="27"/>
      <c r="D18" s="27"/>
      <c r="E18" s="27"/>
      <c r="F18" s="27"/>
      <c r="G18" s="27"/>
      <c r="H18" s="27"/>
      <c r="I18" s="27"/>
    </row>
    <row r="19" spans="2:9" ht="19.5" customHeight="1" x14ac:dyDescent="0.3">
      <c r="B19" s="9" t="s">
        <v>107</v>
      </c>
      <c r="C19" s="9" t="s">
        <v>84</v>
      </c>
      <c r="D19" s="32" t="s">
        <v>108</v>
      </c>
      <c r="E19" s="21"/>
      <c r="F19" s="14"/>
      <c r="G19" s="32" t="s">
        <v>109</v>
      </c>
      <c r="H19" s="14"/>
      <c r="I19" s="9" t="s">
        <v>51</v>
      </c>
    </row>
    <row r="20" spans="2:9" ht="15.75" customHeight="1" x14ac:dyDescent="0.3">
      <c r="B20" s="36" t="s">
        <v>110</v>
      </c>
      <c r="C20" s="21"/>
      <c r="D20" s="21"/>
      <c r="E20" s="21"/>
      <c r="F20" s="21"/>
      <c r="G20" s="21"/>
      <c r="H20" s="21"/>
      <c r="I20" s="14"/>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36" t="s">
        <v>116</v>
      </c>
      <c r="C24" s="21"/>
      <c r="D24" s="21"/>
      <c r="E24" s="21"/>
      <c r="F24" s="21"/>
      <c r="G24" s="21"/>
      <c r="H24" s="21"/>
      <c r="I24" s="14"/>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36" t="s">
        <v>120</v>
      </c>
      <c r="C28" s="21"/>
      <c r="D28" s="21"/>
      <c r="E28" s="21"/>
      <c r="F28" s="21"/>
      <c r="G28" s="21"/>
      <c r="H28" s="21"/>
      <c r="I28" s="14"/>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36" t="s">
        <v>121</v>
      </c>
      <c r="C32" s="21"/>
      <c r="D32" s="21"/>
      <c r="E32" s="21"/>
      <c r="F32" s="21"/>
      <c r="G32" s="21"/>
      <c r="H32" s="21"/>
      <c r="I32" s="14"/>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16" t="s">
        <v>122</v>
      </c>
      <c r="C37" s="21"/>
      <c r="D37" s="21"/>
      <c r="E37" s="21"/>
      <c r="F37" s="21"/>
      <c r="G37" s="21"/>
      <c r="H37" s="21"/>
      <c r="I37" s="14"/>
    </row>
    <row r="38" spans="2:9" ht="13.5" customHeight="1" x14ac:dyDescent="0.3">
      <c r="B38" s="29" t="s">
        <v>123</v>
      </c>
      <c r="C38" s="27"/>
      <c r="D38" s="27"/>
      <c r="E38" s="27"/>
      <c r="F38" s="27"/>
      <c r="G38" s="27"/>
      <c r="H38" s="27"/>
      <c r="I38" s="27"/>
    </row>
    <row r="39" spans="2:9" ht="19.5" customHeight="1" x14ac:dyDescent="0.3">
      <c r="B39" s="8" t="s">
        <v>124</v>
      </c>
      <c r="C39" s="8" t="s">
        <v>125</v>
      </c>
      <c r="D39" s="8" t="s">
        <v>126</v>
      </c>
      <c r="E39" s="38" t="s">
        <v>127</v>
      </c>
      <c r="F39" s="21"/>
      <c r="G39" s="21"/>
      <c r="H39" s="21"/>
      <c r="I39" s="14"/>
    </row>
    <row r="40" spans="2:9" ht="21.75" customHeight="1" x14ac:dyDescent="0.3">
      <c r="B40" s="33" t="s">
        <v>212</v>
      </c>
      <c r="C40" s="21"/>
      <c r="D40" s="14"/>
      <c r="E40" s="25"/>
      <c r="F40" s="21"/>
      <c r="G40" s="21"/>
      <c r="H40" s="21"/>
      <c r="I40" s="14"/>
    </row>
    <row r="41" spans="2:9" ht="21.75" customHeight="1" x14ac:dyDescent="0.3">
      <c r="B41" s="34" t="s">
        <v>130</v>
      </c>
      <c r="C41" s="21"/>
      <c r="D41" s="14"/>
      <c r="E41" s="25"/>
      <c r="F41" s="21"/>
      <c r="G41" s="21"/>
      <c r="H41" s="21"/>
      <c r="I41" s="14"/>
    </row>
    <row r="42" spans="2:9" ht="21.75" customHeight="1" x14ac:dyDescent="0.3">
      <c r="B42" s="34" t="s">
        <v>132</v>
      </c>
      <c r="C42" s="21"/>
      <c r="D42" s="14"/>
      <c r="E42" s="25"/>
      <c r="F42" s="21"/>
      <c r="G42" s="21"/>
      <c r="H42" s="21"/>
      <c r="I42" s="14"/>
    </row>
    <row r="43" spans="2:9" ht="21.75" customHeight="1" x14ac:dyDescent="0.3">
      <c r="B43" s="34" t="s">
        <v>134</v>
      </c>
      <c r="C43" s="21"/>
      <c r="D43" s="14"/>
      <c r="E43" s="25"/>
      <c r="F43" s="21"/>
      <c r="G43" s="21"/>
      <c r="H43" s="21"/>
      <c r="I43" s="14"/>
    </row>
    <row r="44" spans="2:9" ht="21.75" customHeight="1" x14ac:dyDescent="0.3">
      <c r="B44" s="33" t="s">
        <v>136</v>
      </c>
      <c r="C44" s="21"/>
      <c r="D44" s="14"/>
      <c r="E44" s="25"/>
      <c r="F44" s="21"/>
      <c r="G44" s="21"/>
      <c r="H44" s="21"/>
      <c r="I44" s="14"/>
    </row>
    <row r="45" spans="2:9" ht="21.75" customHeight="1" x14ac:dyDescent="0.3">
      <c r="B45" s="34" t="s">
        <v>130</v>
      </c>
      <c r="C45" s="21"/>
      <c r="D45" s="14"/>
      <c r="E45" s="25"/>
      <c r="F45" s="21"/>
      <c r="G45" s="21"/>
      <c r="H45" s="21"/>
      <c r="I45" s="14"/>
    </row>
    <row r="46" spans="2:9" ht="21.75" customHeight="1" x14ac:dyDescent="0.3">
      <c r="B46" s="34" t="s">
        <v>132</v>
      </c>
      <c r="C46" s="21"/>
      <c r="D46" s="14"/>
      <c r="E46" s="25"/>
      <c r="F46" s="21"/>
      <c r="G46" s="21"/>
      <c r="H46" s="21"/>
      <c r="I46" s="14"/>
    </row>
    <row r="47" spans="2:9" ht="21.75" customHeight="1" x14ac:dyDescent="0.3">
      <c r="B47" s="34" t="s">
        <v>134</v>
      </c>
      <c r="C47" s="21"/>
      <c r="D47" s="14"/>
      <c r="E47" s="25"/>
      <c r="F47" s="21"/>
      <c r="G47" s="21"/>
      <c r="H47" s="21"/>
      <c r="I47" s="14"/>
    </row>
    <row r="48" spans="2:9" ht="21.75" customHeight="1" x14ac:dyDescent="0.3">
      <c r="B48" s="33" t="s">
        <v>137</v>
      </c>
      <c r="C48" s="21"/>
      <c r="D48" s="14"/>
      <c r="E48" s="25"/>
      <c r="F48" s="21"/>
      <c r="G48" s="21"/>
      <c r="H48" s="21"/>
      <c r="I48" s="14"/>
    </row>
    <row r="49" spans="2:9" ht="21.75" customHeight="1" x14ac:dyDescent="0.3">
      <c r="B49" s="34" t="s">
        <v>130</v>
      </c>
      <c r="C49" s="21"/>
      <c r="D49" s="14"/>
      <c r="E49" s="25"/>
      <c r="F49" s="21"/>
      <c r="G49" s="21"/>
      <c r="H49" s="21"/>
      <c r="I49" s="14"/>
    </row>
    <row r="50" spans="2:9" ht="21.75" customHeight="1" x14ac:dyDescent="0.3">
      <c r="B50" s="34" t="s">
        <v>132</v>
      </c>
      <c r="C50" s="21"/>
      <c r="D50" s="14"/>
      <c r="E50" s="25"/>
      <c r="F50" s="21"/>
      <c r="G50" s="21"/>
      <c r="H50" s="21"/>
      <c r="I50" s="14"/>
    </row>
    <row r="51" spans="2:9" ht="21.75" customHeight="1" x14ac:dyDescent="0.3">
      <c r="B51" s="34" t="s">
        <v>134</v>
      </c>
      <c r="C51" s="21"/>
      <c r="D51" s="14"/>
      <c r="E51" s="25"/>
      <c r="F51" s="21"/>
      <c r="G51" s="21"/>
      <c r="H51" s="21"/>
      <c r="I51" s="14"/>
    </row>
    <row r="52" spans="2:9" ht="21.75" customHeight="1" x14ac:dyDescent="0.3">
      <c r="B52" s="33" t="s">
        <v>138</v>
      </c>
      <c r="C52" s="21"/>
      <c r="D52" s="14"/>
      <c r="E52" s="25"/>
      <c r="F52" s="21"/>
      <c r="G52" s="21"/>
      <c r="H52" s="21"/>
      <c r="I52" s="14"/>
    </row>
    <row r="53" spans="2:9" ht="21.75" customHeight="1" x14ac:dyDescent="0.3">
      <c r="B53" s="34" t="s">
        <v>130</v>
      </c>
      <c r="C53" s="21"/>
      <c r="D53" s="14"/>
      <c r="E53" s="25"/>
      <c r="F53" s="21"/>
      <c r="G53" s="21"/>
      <c r="H53" s="21"/>
      <c r="I53" s="14"/>
    </row>
    <row r="54" spans="2:9" ht="21.75" customHeight="1" x14ac:dyDescent="0.3">
      <c r="B54" s="34" t="s">
        <v>132</v>
      </c>
      <c r="C54" s="21"/>
      <c r="D54" s="14"/>
      <c r="E54" s="25"/>
      <c r="F54" s="21"/>
      <c r="G54" s="21"/>
      <c r="H54" s="21"/>
      <c r="I54" s="14"/>
    </row>
    <row r="55" spans="2:9" ht="21.75" customHeight="1" x14ac:dyDescent="0.3">
      <c r="B55" s="34" t="s">
        <v>134</v>
      </c>
      <c r="C55" s="21"/>
      <c r="D55" s="14"/>
      <c r="E55" s="25"/>
      <c r="F55" s="21"/>
      <c r="G55" s="21"/>
      <c r="H55" s="21"/>
      <c r="I55" s="14"/>
    </row>
    <row r="56" spans="2:9" x14ac:dyDescent="0.3">
      <c r="E56" s="25"/>
      <c r="F56" s="21"/>
      <c r="G56" s="21"/>
      <c r="H56" s="21"/>
      <c r="I56" s="14"/>
    </row>
    <row r="57" spans="2:9" ht="21.75" customHeight="1" x14ac:dyDescent="0.3">
      <c r="B57" s="35" t="s">
        <v>139</v>
      </c>
      <c r="C57" s="21"/>
      <c r="D57" s="21"/>
      <c r="E57" s="21"/>
      <c r="F57" s="21"/>
      <c r="G57" s="21"/>
      <c r="H57" s="21"/>
      <c r="I57" s="14"/>
    </row>
    <row r="58" spans="2:9" ht="13.5" customHeight="1" x14ac:dyDescent="0.3">
      <c r="B58" s="29" t="s">
        <v>140</v>
      </c>
      <c r="C58" s="27"/>
      <c r="D58" s="27"/>
      <c r="E58" s="27"/>
      <c r="F58" s="27"/>
      <c r="G58" s="27"/>
      <c r="H58" s="27"/>
      <c r="I58" s="27"/>
    </row>
    <row r="59" spans="2:9" ht="18" customHeight="1" x14ac:dyDescent="0.3">
      <c r="B59" s="37" t="s">
        <v>141</v>
      </c>
      <c r="C59" s="21"/>
      <c r="D59" s="21"/>
      <c r="E59" s="21"/>
      <c r="F59" s="21"/>
      <c r="G59" s="21"/>
      <c r="H59" s="21"/>
      <c r="I59" s="14"/>
    </row>
    <row r="60" spans="2:9" ht="18" customHeight="1" x14ac:dyDescent="0.3">
      <c r="B60" s="28" t="s">
        <v>142</v>
      </c>
      <c r="C60" s="21"/>
      <c r="D60" s="14"/>
      <c r="E60" s="30" t="s">
        <v>153</v>
      </c>
      <c r="F60" s="27"/>
      <c r="G60" s="27"/>
      <c r="H60" s="27"/>
      <c r="I60" s="27"/>
    </row>
    <row r="61" spans="2:9" ht="18" customHeight="1" x14ac:dyDescent="0.3">
      <c r="B61" s="28" t="s">
        <v>144</v>
      </c>
      <c r="C61" s="21"/>
      <c r="D61" s="14"/>
      <c r="E61" s="30" t="s">
        <v>154</v>
      </c>
      <c r="F61" s="27"/>
      <c r="G61" s="27"/>
      <c r="H61" s="27"/>
      <c r="I61" s="27"/>
    </row>
    <row r="62" spans="2:9" ht="18" customHeight="1" x14ac:dyDescent="0.3">
      <c r="B62" s="28" t="s">
        <v>146</v>
      </c>
      <c r="C62" s="21"/>
      <c r="D62" s="14"/>
      <c r="E62" s="30" t="s">
        <v>155</v>
      </c>
      <c r="F62" s="27"/>
      <c r="G62" s="27"/>
      <c r="H62" s="27"/>
      <c r="I62" s="27"/>
    </row>
    <row r="63" spans="2:9" ht="18" customHeight="1" x14ac:dyDescent="0.3">
      <c r="B63" s="28" t="s">
        <v>148</v>
      </c>
      <c r="C63" s="21"/>
      <c r="D63" s="14"/>
      <c r="E63" s="30" t="s">
        <v>156</v>
      </c>
      <c r="F63" s="27"/>
      <c r="G63" s="27"/>
      <c r="H63" s="27"/>
      <c r="I63" s="27"/>
    </row>
    <row r="64" spans="2:9" ht="18" customHeight="1" x14ac:dyDescent="0.3">
      <c r="B64" s="28" t="s">
        <v>150</v>
      </c>
      <c r="C64" s="21"/>
      <c r="D64" s="14"/>
      <c r="E64" s="30" t="s">
        <v>157</v>
      </c>
      <c r="F64" s="27"/>
      <c r="G64" s="27"/>
      <c r="H64" s="27"/>
      <c r="I64" s="27"/>
    </row>
    <row r="66" spans="2:9" ht="18" customHeight="1" x14ac:dyDescent="0.3">
      <c r="B66" s="37" t="s">
        <v>152</v>
      </c>
      <c r="C66" s="21"/>
      <c r="D66" s="21"/>
      <c r="E66" s="21"/>
      <c r="F66" s="21"/>
      <c r="G66" s="21"/>
      <c r="H66" s="21"/>
      <c r="I66" s="14"/>
    </row>
    <row r="67" spans="2:9" ht="18" customHeight="1" x14ac:dyDescent="0.3">
      <c r="B67" s="28" t="s">
        <v>142</v>
      </c>
      <c r="C67" s="21"/>
      <c r="D67" s="14"/>
      <c r="E67" s="30" t="s">
        <v>153</v>
      </c>
      <c r="F67" s="27"/>
      <c r="G67" s="27"/>
      <c r="H67" s="27"/>
      <c r="I67" s="27"/>
    </row>
    <row r="68" spans="2:9" ht="18" customHeight="1" x14ac:dyDescent="0.3">
      <c r="B68" s="28" t="s">
        <v>144</v>
      </c>
      <c r="C68" s="21"/>
      <c r="D68" s="14"/>
      <c r="E68" s="30" t="s">
        <v>154</v>
      </c>
      <c r="F68" s="27"/>
      <c r="G68" s="27"/>
      <c r="H68" s="27"/>
      <c r="I68" s="27"/>
    </row>
    <row r="69" spans="2:9" ht="18" customHeight="1" x14ac:dyDescent="0.3">
      <c r="B69" s="28" t="s">
        <v>146</v>
      </c>
      <c r="C69" s="21"/>
      <c r="D69" s="14"/>
      <c r="E69" s="30" t="s">
        <v>155</v>
      </c>
      <c r="F69" s="27"/>
      <c r="G69" s="27"/>
      <c r="H69" s="27"/>
      <c r="I69" s="27"/>
    </row>
    <row r="70" spans="2:9" ht="18" customHeight="1" x14ac:dyDescent="0.3">
      <c r="B70" s="28" t="s">
        <v>148</v>
      </c>
      <c r="C70" s="21"/>
      <c r="D70" s="14"/>
      <c r="E70" s="30" t="s">
        <v>156</v>
      </c>
      <c r="F70" s="27"/>
      <c r="G70" s="27"/>
      <c r="H70" s="27"/>
      <c r="I70" s="27"/>
    </row>
    <row r="71" spans="2:9" ht="18" customHeight="1" x14ac:dyDescent="0.3">
      <c r="B71" s="28" t="s">
        <v>150</v>
      </c>
      <c r="C71" s="21"/>
      <c r="D71" s="14"/>
      <c r="E71" s="30" t="s">
        <v>157</v>
      </c>
      <c r="F71" s="27"/>
      <c r="G71" s="27"/>
      <c r="H71" s="27"/>
      <c r="I71" s="27"/>
    </row>
    <row r="73" spans="2:9" ht="18" customHeight="1" x14ac:dyDescent="0.3">
      <c r="B73" s="37" t="s">
        <v>158</v>
      </c>
      <c r="C73" s="21"/>
      <c r="D73" s="21"/>
      <c r="E73" s="21"/>
      <c r="F73" s="21"/>
      <c r="G73" s="21"/>
      <c r="H73" s="21"/>
      <c r="I73" s="14"/>
    </row>
    <row r="74" spans="2:9" ht="18" customHeight="1" x14ac:dyDescent="0.3">
      <c r="B74" s="28" t="s">
        <v>142</v>
      </c>
      <c r="C74" s="21"/>
      <c r="D74" s="14"/>
      <c r="E74" s="34" t="s">
        <v>153</v>
      </c>
      <c r="F74" s="21"/>
      <c r="G74" s="21"/>
      <c r="H74" s="21"/>
      <c r="I74" s="14"/>
    </row>
    <row r="75" spans="2:9" ht="18" customHeight="1" x14ac:dyDescent="0.3">
      <c r="B75" s="28" t="s">
        <v>144</v>
      </c>
      <c r="C75" s="21"/>
      <c r="D75" s="14"/>
      <c r="E75" s="34" t="s">
        <v>154</v>
      </c>
      <c r="F75" s="21"/>
      <c r="G75" s="21"/>
      <c r="H75" s="21"/>
      <c r="I75" s="14"/>
    </row>
    <row r="76" spans="2:9" ht="18" customHeight="1" x14ac:dyDescent="0.3">
      <c r="B76" s="28" t="s">
        <v>146</v>
      </c>
      <c r="C76" s="21"/>
      <c r="D76" s="14"/>
      <c r="E76" s="34" t="s">
        <v>155</v>
      </c>
      <c r="F76" s="21"/>
      <c r="G76" s="21"/>
      <c r="H76" s="21"/>
      <c r="I76" s="14"/>
    </row>
    <row r="77" spans="2:9" ht="18" customHeight="1" x14ac:dyDescent="0.3">
      <c r="B77" s="28" t="s">
        <v>148</v>
      </c>
      <c r="C77" s="21"/>
      <c r="D77" s="14"/>
      <c r="E77" s="34" t="s">
        <v>156</v>
      </c>
      <c r="F77" s="21"/>
      <c r="G77" s="21"/>
      <c r="H77" s="21"/>
      <c r="I77" s="14"/>
    </row>
    <row r="78" spans="2:9" ht="18" customHeight="1" x14ac:dyDescent="0.3">
      <c r="B78" s="28" t="s">
        <v>150</v>
      </c>
      <c r="C78" s="21"/>
      <c r="D78" s="14"/>
      <c r="E78" s="34" t="s">
        <v>157</v>
      </c>
      <c r="F78" s="21"/>
      <c r="G78" s="21"/>
      <c r="H78" s="21"/>
      <c r="I78" s="14"/>
    </row>
    <row r="80" spans="2:9" ht="18" customHeight="1" x14ac:dyDescent="0.3">
      <c r="B80" s="37" t="s">
        <v>159</v>
      </c>
      <c r="C80" s="21"/>
      <c r="D80" s="21"/>
      <c r="E80" s="21"/>
      <c r="F80" s="21"/>
      <c r="G80" s="21"/>
      <c r="H80" s="21"/>
      <c r="I80" s="14"/>
    </row>
    <row r="81" spans="2:9" ht="18" customHeight="1" x14ac:dyDescent="0.3">
      <c r="B81" s="28" t="s">
        <v>142</v>
      </c>
      <c r="C81" s="21"/>
      <c r="D81" s="14"/>
      <c r="E81" s="34" t="s">
        <v>153</v>
      </c>
      <c r="F81" s="21"/>
      <c r="G81" s="21"/>
      <c r="H81" s="21"/>
      <c r="I81" s="14"/>
    </row>
    <row r="82" spans="2:9" ht="18" customHeight="1" x14ac:dyDescent="0.3">
      <c r="B82" s="28" t="s">
        <v>144</v>
      </c>
      <c r="C82" s="21"/>
      <c r="D82" s="14"/>
      <c r="E82" s="34" t="s">
        <v>154</v>
      </c>
      <c r="F82" s="21"/>
      <c r="G82" s="21"/>
      <c r="H82" s="21"/>
      <c r="I82" s="14"/>
    </row>
    <row r="83" spans="2:9" ht="18" customHeight="1" x14ac:dyDescent="0.3">
      <c r="B83" s="28" t="s">
        <v>146</v>
      </c>
      <c r="C83" s="21"/>
      <c r="D83" s="14"/>
      <c r="E83" s="34" t="s">
        <v>155</v>
      </c>
      <c r="F83" s="21"/>
      <c r="G83" s="21"/>
      <c r="H83" s="21"/>
      <c r="I83" s="14"/>
    </row>
    <row r="84" spans="2:9" ht="18" customHeight="1" x14ac:dyDescent="0.3">
      <c r="B84" s="28" t="s">
        <v>148</v>
      </c>
      <c r="C84" s="21"/>
      <c r="D84" s="14"/>
      <c r="E84" s="34" t="s">
        <v>156</v>
      </c>
      <c r="F84" s="21"/>
      <c r="G84" s="21"/>
      <c r="H84" s="21"/>
      <c r="I84" s="14"/>
    </row>
    <row r="85" spans="2:9" ht="18" customHeight="1" x14ac:dyDescent="0.3">
      <c r="B85" s="28" t="s">
        <v>150</v>
      </c>
      <c r="C85" s="21"/>
      <c r="D85" s="14"/>
      <c r="E85" s="34" t="s">
        <v>157</v>
      </c>
      <c r="F85" s="21"/>
      <c r="G85" s="21"/>
      <c r="H85" s="21"/>
      <c r="I85" s="14"/>
    </row>
    <row r="87" spans="2:9" ht="18" customHeight="1" x14ac:dyDescent="0.3">
      <c r="B87" s="37" t="s">
        <v>160</v>
      </c>
      <c r="C87" s="21"/>
      <c r="D87" s="21"/>
      <c r="E87" s="21"/>
      <c r="F87" s="21"/>
      <c r="G87" s="21"/>
      <c r="H87" s="21"/>
      <c r="I87" s="14"/>
    </row>
    <row r="88" spans="2:9" ht="18" customHeight="1" x14ac:dyDescent="0.3">
      <c r="B88" s="28" t="s">
        <v>142</v>
      </c>
      <c r="C88" s="21"/>
      <c r="D88" s="14"/>
      <c r="E88" s="34" t="s">
        <v>153</v>
      </c>
      <c r="F88" s="21"/>
      <c r="G88" s="21"/>
      <c r="H88" s="21"/>
      <c r="I88" s="14"/>
    </row>
    <row r="89" spans="2:9" ht="18" customHeight="1" x14ac:dyDescent="0.3">
      <c r="B89" s="28" t="s">
        <v>144</v>
      </c>
      <c r="C89" s="21"/>
      <c r="D89" s="14"/>
      <c r="E89" s="34" t="s">
        <v>154</v>
      </c>
      <c r="F89" s="21"/>
      <c r="G89" s="21"/>
      <c r="H89" s="21"/>
      <c r="I89" s="14"/>
    </row>
    <row r="90" spans="2:9" ht="18" customHeight="1" x14ac:dyDescent="0.3">
      <c r="B90" s="28" t="s">
        <v>146</v>
      </c>
      <c r="C90" s="21"/>
      <c r="D90" s="14"/>
      <c r="E90" s="34" t="s">
        <v>155</v>
      </c>
      <c r="F90" s="21"/>
      <c r="G90" s="21"/>
      <c r="H90" s="21"/>
      <c r="I90" s="14"/>
    </row>
    <row r="91" spans="2:9" ht="18" customHeight="1" x14ac:dyDescent="0.3">
      <c r="B91" s="28" t="s">
        <v>148</v>
      </c>
      <c r="C91" s="21"/>
      <c r="D91" s="14"/>
      <c r="E91" s="34" t="s">
        <v>156</v>
      </c>
      <c r="F91" s="21"/>
      <c r="G91" s="21"/>
      <c r="H91" s="21"/>
      <c r="I91" s="14"/>
    </row>
    <row r="92" spans="2:9" ht="18" customHeight="1" x14ac:dyDescent="0.3">
      <c r="B92" s="28" t="s">
        <v>150</v>
      </c>
      <c r="C92" s="21"/>
      <c r="D92" s="14"/>
      <c r="E92" s="34" t="s">
        <v>157</v>
      </c>
      <c r="F92" s="21"/>
      <c r="G92" s="21"/>
      <c r="H92" s="21"/>
      <c r="I92" s="14"/>
    </row>
    <row r="94" spans="2:9" ht="15.75" customHeight="1" x14ac:dyDescent="0.3">
      <c r="B94" s="24" t="s">
        <v>219</v>
      </c>
      <c r="C94" s="21"/>
      <c r="D94" s="21"/>
      <c r="E94" s="21"/>
      <c r="F94" s="21"/>
      <c r="G94" s="21"/>
      <c r="H94" s="21"/>
      <c r="I94" s="14"/>
    </row>
  </sheetData>
  <mergeCells count="106">
    <mergeCell ref="E68:I68"/>
    <mergeCell ref="E55:I55"/>
    <mergeCell ref="E52:I52"/>
    <mergeCell ref="E67:I67"/>
    <mergeCell ref="B44:D44"/>
    <mergeCell ref="B53:D53"/>
    <mergeCell ref="E39:I39"/>
    <mergeCell ref="E48:I48"/>
    <mergeCell ref="E60:I60"/>
    <mergeCell ref="B51:D5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1:D41"/>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22"/>
  <sheetViews>
    <sheetView showGridLines="0" topLeftCell="A7" zoomScaleNormal="100" workbookViewId="0">
      <selection activeCell="D26" sqref="D26"/>
    </sheetView>
  </sheetViews>
  <sheetFormatPr defaultColWidth="8.5546875" defaultRowHeight="14.4" x14ac:dyDescent="0.3"/>
  <cols>
    <col min="1" max="1" width="3" customWidth="1"/>
    <col min="2" max="2" width="12" customWidth="1"/>
    <col min="3" max="6" width="16" customWidth="1"/>
    <col min="7" max="11" width="13" customWidth="1"/>
  </cols>
  <sheetData>
    <row r="1" spans="2:12" ht="13.5" customHeight="1" x14ac:dyDescent="0.3"/>
    <row r="2" spans="2:12" ht="33.75" customHeight="1" x14ac:dyDescent="0.3">
      <c r="B2" s="31" t="s">
        <v>220</v>
      </c>
      <c r="C2" s="21"/>
      <c r="D2" s="21"/>
      <c r="E2" s="21"/>
      <c r="F2" s="21"/>
      <c r="G2" s="21"/>
      <c r="H2" s="21"/>
      <c r="I2" s="21"/>
      <c r="J2" s="21"/>
      <c r="K2" s="21"/>
      <c r="L2" s="14"/>
    </row>
    <row r="4" spans="2:12" ht="19.5" customHeight="1" x14ac:dyDescent="0.3">
      <c r="B4" s="19" t="s">
        <v>221</v>
      </c>
      <c r="C4" s="21"/>
      <c r="D4" s="21"/>
      <c r="E4" s="21"/>
      <c r="F4" s="21"/>
      <c r="G4" s="21"/>
      <c r="H4" s="21"/>
      <c r="I4" s="21"/>
      <c r="J4" s="21"/>
      <c r="K4" s="21"/>
      <c r="L4" s="14"/>
    </row>
    <row r="5" spans="2:12" ht="19.5" customHeight="1" x14ac:dyDescent="0.3">
      <c r="B5" s="1" t="s">
        <v>222</v>
      </c>
      <c r="C5" s="1" t="s">
        <v>223</v>
      </c>
      <c r="D5" s="1" t="s">
        <v>224</v>
      </c>
      <c r="E5" s="1" t="s">
        <v>225</v>
      </c>
      <c r="F5" s="1" t="s">
        <v>226</v>
      </c>
      <c r="G5" s="1" t="s">
        <v>227</v>
      </c>
      <c r="H5" s="1" t="s">
        <v>228</v>
      </c>
      <c r="I5" s="1" t="s">
        <v>170</v>
      </c>
      <c r="J5" s="1" t="s">
        <v>99</v>
      </c>
      <c r="K5" s="1" t="s">
        <v>94</v>
      </c>
      <c r="L5" s="1" t="s">
        <v>51</v>
      </c>
    </row>
    <row r="6" spans="2:12" ht="18" customHeight="1" x14ac:dyDescent="0.3">
      <c r="B6" s="4" t="s">
        <v>229</v>
      </c>
      <c r="C6" s="4">
        <f>COUNTIF(Week_01!$C$8:$C$15,"A")</f>
        <v>3</v>
      </c>
      <c r="D6" s="4">
        <f>COUNTIF(Week_01!$C$8:$C$15,"B")</f>
        <v>1</v>
      </c>
      <c r="E6" s="4">
        <f>COUNTIF(Week_01!$C$8:$C$15,"C")</f>
        <v>0</v>
      </c>
      <c r="F6" s="4">
        <f>COUNTIF(Week_01!$C$8:$C$15,"D")</f>
        <v>0</v>
      </c>
      <c r="G6" s="4">
        <f>COUNTIF(Week_01!$C$8:$C$15,"E")</f>
        <v>0</v>
      </c>
      <c r="H6" s="4">
        <f t="shared" ref="H6:H15" si="0">SUM(C6:G6)</f>
        <v>4</v>
      </c>
      <c r="I6" s="4">
        <f>COUNTIF(Week_01!$G$8:$G$15,"Low")</f>
        <v>0</v>
      </c>
      <c r="J6" s="4">
        <f>COUNTIF(Week_01!$G$8:$G$15,"Medium")</f>
        <v>2</v>
      </c>
      <c r="K6" s="4">
        <f>COUNTIF(Week_01!$G$8:$G$15,"High")</f>
        <v>2</v>
      </c>
      <c r="L6" s="4"/>
    </row>
    <row r="7" spans="2:12" ht="18" customHeight="1" x14ac:dyDescent="0.3">
      <c r="B7" s="4" t="s">
        <v>230</v>
      </c>
      <c r="C7" s="4">
        <f>COUNTIF(Week_02!$C$8:$C$15,"A")</f>
        <v>2</v>
      </c>
      <c r="D7" s="4">
        <f>COUNTIF(Week_02!$C$8:$C$15,"B")</f>
        <v>2</v>
      </c>
      <c r="E7" s="4">
        <f>COUNTIF(Week_02!$C$8:$C$15,"C")</f>
        <v>0</v>
      </c>
      <c r="F7" s="4">
        <f>COUNTIF(Week_02!$C$8:$C$15,"D")</f>
        <v>0</v>
      </c>
      <c r="G7" s="4">
        <f>COUNTIF(Week_02!$C$8:$C$15,"E")</f>
        <v>0</v>
      </c>
      <c r="H7" s="4">
        <f t="shared" si="0"/>
        <v>4</v>
      </c>
      <c r="I7" s="4">
        <f>COUNTIF(Week_02!$G$8:$G$15,"Low")</f>
        <v>1</v>
      </c>
      <c r="J7" s="4">
        <f>COUNTIF(Week_02!$G$8:$G$15,"Medium")</f>
        <v>3</v>
      </c>
      <c r="K7" s="4">
        <f>COUNTIF(Week_02!$G$8:$G$15,"High")</f>
        <v>0</v>
      </c>
      <c r="L7" s="4"/>
    </row>
    <row r="8" spans="2:12" ht="18" customHeight="1" x14ac:dyDescent="0.3">
      <c r="B8" s="4" t="s">
        <v>231</v>
      </c>
      <c r="C8" s="4">
        <f>COUNTIF(Week_03!$C$8:$C$15,"A")</f>
        <v>2</v>
      </c>
      <c r="D8" s="4">
        <f>COUNTIF(Week_03!$C$8:$C$15,"B")</f>
        <v>2</v>
      </c>
      <c r="E8" s="4">
        <f>COUNTIF(Week_03!$C$8:$C$15,"C")</f>
        <v>0</v>
      </c>
      <c r="F8" s="4">
        <f>COUNTIF(Week_03!$C$8:$C$15,"D")</f>
        <v>0</v>
      </c>
      <c r="G8" s="4">
        <f>COUNTIF(Week_03!$C$8:$C$15,"E")</f>
        <v>0</v>
      </c>
      <c r="H8" s="4">
        <f t="shared" si="0"/>
        <v>4</v>
      </c>
      <c r="I8" s="4">
        <f>COUNTIF(Week_03!$G$8:$G$15,"Low")</f>
        <v>1</v>
      </c>
      <c r="J8" s="4">
        <f>COUNTIF(Week_03!$G$8:$G$15,"Medium")</f>
        <v>3</v>
      </c>
      <c r="K8" s="4">
        <f>COUNTIF(Week_03!$G$8:$G$15,"High")</f>
        <v>0</v>
      </c>
      <c r="L8" s="4"/>
    </row>
    <row r="9" spans="2:12" ht="18" customHeight="1" x14ac:dyDescent="0.3">
      <c r="B9" s="4" t="s">
        <v>232</v>
      </c>
      <c r="C9" s="4">
        <f>COUNTIF(Week_04!$C$8:$C$15,"A")</f>
        <v>0</v>
      </c>
      <c r="D9" s="4">
        <f>COUNTIF(Week_04!$C$8:$C$15,"B")</f>
        <v>0</v>
      </c>
      <c r="E9" s="4">
        <f>COUNTIF(Week_04!$C$8:$C$15,"C")</f>
        <v>0</v>
      </c>
      <c r="F9" s="4">
        <f>COUNTIF(Week_04!$C$8:$C$15,"D")</f>
        <v>0</v>
      </c>
      <c r="G9" s="4">
        <f>COUNTIF(Week_04!$C$8:$C$15,"E")</f>
        <v>0</v>
      </c>
      <c r="H9" s="4">
        <f t="shared" si="0"/>
        <v>0</v>
      </c>
      <c r="I9" s="4">
        <f>COUNTIF(Week_04!$G$8:$G$15,"Low")</f>
        <v>0</v>
      </c>
      <c r="J9" s="4">
        <f>COUNTIF(Week_04!$G$8:$G$15,"Medium")</f>
        <v>0</v>
      </c>
      <c r="K9" s="4">
        <f>COUNTIF(Week_04!$G$8:$G$15,"High")</f>
        <v>0</v>
      </c>
      <c r="L9" s="4"/>
    </row>
    <row r="10" spans="2:12" ht="18" customHeight="1" x14ac:dyDescent="0.3">
      <c r="B10" s="4" t="s">
        <v>233</v>
      </c>
      <c r="C10" s="4">
        <f>COUNTIF(Week_05!$C$8:$C$15,"A")</f>
        <v>0</v>
      </c>
      <c r="D10" s="4">
        <f>COUNTIF(Week_05!$C$8:$C$15,"B")</f>
        <v>0</v>
      </c>
      <c r="E10" s="4">
        <f>COUNTIF(Week_05!$C$8:$C$15,"C")</f>
        <v>0</v>
      </c>
      <c r="F10" s="4">
        <f>COUNTIF(Week_05!$C$8:$C$15,"D")</f>
        <v>0</v>
      </c>
      <c r="G10" s="4">
        <f>COUNTIF(Week_05!$C$8:$C$15,"E")</f>
        <v>0</v>
      </c>
      <c r="H10" s="4">
        <f t="shared" si="0"/>
        <v>0</v>
      </c>
      <c r="I10" s="4">
        <f>COUNTIF(Week_05!$G$8:$G$15,"Low")</f>
        <v>0</v>
      </c>
      <c r="J10" s="4">
        <f>COUNTIF(Week_05!$G$8:$G$15,"Medium")</f>
        <v>0</v>
      </c>
      <c r="K10" s="4">
        <f>COUNTIF(Week_05!$G$8:$G$15,"High")</f>
        <v>0</v>
      </c>
      <c r="L10" s="4"/>
    </row>
    <row r="11" spans="2:12" ht="18" customHeight="1" x14ac:dyDescent="0.3">
      <c r="B11" s="4" t="s">
        <v>234</v>
      </c>
      <c r="C11" s="4">
        <f>COUNTIF(Week_06!$C$8:$C$15,"A")</f>
        <v>0</v>
      </c>
      <c r="D11" s="4">
        <f>COUNTIF(Week_06!$C$8:$C$15,"B")</f>
        <v>0</v>
      </c>
      <c r="E11" s="4">
        <f>COUNTIF(Week_06!$C$8:$C$15,"C")</f>
        <v>0</v>
      </c>
      <c r="F11" s="4">
        <f>COUNTIF(Week_06!$C$8:$C$15,"D")</f>
        <v>0</v>
      </c>
      <c r="G11" s="4">
        <f>COUNTIF(Week_06!$C$8:$C$15,"E")</f>
        <v>0</v>
      </c>
      <c r="H11" s="4">
        <f t="shared" si="0"/>
        <v>0</v>
      </c>
      <c r="I11" s="4">
        <f>COUNTIF(Week_06!$G$8:$G$15,"Low")</f>
        <v>0</v>
      </c>
      <c r="J11" s="4">
        <f>COUNTIF(Week_06!$G$8:$G$15,"Medium")</f>
        <v>0</v>
      </c>
      <c r="K11" s="4">
        <f>COUNTIF(Week_06!$G$8:$G$15,"High")</f>
        <v>0</v>
      </c>
      <c r="L11" s="4"/>
    </row>
    <row r="12" spans="2:12" ht="18" customHeight="1" x14ac:dyDescent="0.3">
      <c r="B12" s="4" t="s">
        <v>235</v>
      </c>
      <c r="C12" s="4">
        <f>COUNTIF(Week_07!$C$8:$C$15,"A")</f>
        <v>0</v>
      </c>
      <c r="D12" s="4">
        <f>COUNTIF(Week_07!$C$8:$C$15,"B")</f>
        <v>0</v>
      </c>
      <c r="E12" s="4">
        <f>COUNTIF(Week_07!$C$8:$C$15,"C")</f>
        <v>0</v>
      </c>
      <c r="F12" s="4">
        <f>COUNTIF(Week_07!$C$8:$C$15,"D")</f>
        <v>0</v>
      </c>
      <c r="G12" s="4">
        <f>COUNTIF(Week_07!$C$8:$C$15,"E")</f>
        <v>0</v>
      </c>
      <c r="H12" s="4">
        <f t="shared" si="0"/>
        <v>0</v>
      </c>
      <c r="I12" s="4">
        <f>COUNTIF(Week_07!$G$8:$G$15,"Low")</f>
        <v>0</v>
      </c>
      <c r="J12" s="4">
        <f>COUNTIF(Week_07!$G$8:$G$15,"Medium")</f>
        <v>0</v>
      </c>
      <c r="K12" s="4">
        <f>COUNTIF(Week_07!$G$8:$G$15,"High")</f>
        <v>0</v>
      </c>
      <c r="L12" s="4"/>
    </row>
    <row r="13" spans="2:12" ht="18" customHeight="1" x14ac:dyDescent="0.3">
      <c r="B13" s="4" t="s">
        <v>236</v>
      </c>
      <c r="C13" s="4">
        <f>COUNTIF(Week_08!$C$8:$C$15,"A")</f>
        <v>0</v>
      </c>
      <c r="D13" s="4">
        <f>COUNTIF(Week_08!$C$8:$C$15,"B")</f>
        <v>0</v>
      </c>
      <c r="E13" s="4">
        <f>COUNTIF(Week_08!$C$8:$C$15,"C")</f>
        <v>0</v>
      </c>
      <c r="F13" s="4">
        <f>COUNTIF(Week_08!$C$8:$C$15,"D")</f>
        <v>0</v>
      </c>
      <c r="G13" s="4">
        <f>COUNTIF(Week_08!$C$8:$C$15,"E")</f>
        <v>0</v>
      </c>
      <c r="H13" s="4">
        <f t="shared" si="0"/>
        <v>0</v>
      </c>
      <c r="I13" s="4">
        <f>COUNTIF(Week_08!$G$8:$G$15,"Low")</f>
        <v>0</v>
      </c>
      <c r="J13" s="4">
        <f>COUNTIF(Week_08!$G$8:$G$15,"Medium")</f>
        <v>0</v>
      </c>
      <c r="K13" s="4">
        <f>COUNTIF(Week_08!$G$8:$G$15,"High")</f>
        <v>0</v>
      </c>
      <c r="L13" s="4"/>
    </row>
    <row r="14" spans="2:12" ht="18" customHeight="1" x14ac:dyDescent="0.3">
      <c r="B14" s="4" t="s">
        <v>237</v>
      </c>
      <c r="C14" s="4">
        <f>COUNTIF(Week_09!$C$8:$C$15,"A")</f>
        <v>0</v>
      </c>
      <c r="D14" s="4">
        <f>COUNTIF(Week_09!$C$8:$C$15,"B")</f>
        <v>0</v>
      </c>
      <c r="E14" s="4">
        <f>COUNTIF(Week_09!$C$8:$C$15,"C")</f>
        <v>0</v>
      </c>
      <c r="F14" s="4">
        <f>COUNTIF(Week_09!$C$8:$C$15,"D")</f>
        <v>0</v>
      </c>
      <c r="G14" s="4">
        <f>COUNTIF(Week_09!$C$8:$C$15,"E")</f>
        <v>0</v>
      </c>
      <c r="H14" s="4">
        <f t="shared" si="0"/>
        <v>0</v>
      </c>
      <c r="I14" s="4">
        <f>COUNTIF(Week_09!$G$8:$G$15,"Low")</f>
        <v>0</v>
      </c>
      <c r="J14" s="4">
        <f>COUNTIF(Week_09!$G$8:$G$15,"Medium")</f>
        <v>0</v>
      </c>
      <c r="K14" s="4">
        <f>COUNTIF(Week_09!$G$8:$G$15,"High")</f>
        <v>0</v>
      </c>
      <c r="L14" s="4"/>
    </row>
    <row r="15" spans="2:12" ht="18" customHeight="1" x14ac:dyDescent="0.3">
      <c r="B15" s="4" t="s">
        <v>238</v>
      </c>
      <c r="C15" s="4">
        <f>COUNTIF(Week_10!$C$8:$C$15,"A")</f>
        <v>0</v>
      </c>
      <c r="D15" s="4">
        <f>COUNTIF(Week_10!$C$8:$C$15,"B")</f>
        <v>0</v>
      </c>
      <c r="E15" s="4">
        <f>COUNTIF(Week_10!$C$8:$C$15,"C")</f>
        <v>0</v>
      </c>
      <c r="F15" s="4">
        <f>COUNTIF(Week_10!$C$8:$C$15,"D")</f>
        <v>0</v>
      </c>
      <c r="G15" s="4">
        <f>COUNTIF(Week_10!$C$8:$C$15,"E")</f>
        <v>0</v>
      </c>
      <c r="H15" s="4">
        <f t="shared" si="0"/>
        <v>0</v>
      </c>
      <c r="I15" s="4">
        <f>COUNTIF(Week_10!$G$8:$G$15,"Low")</f>
        <v>0</v>
      </c>
      <c r="J15" s="4">
        <f>COUNTIF(Week_10!$G$8:$G$15,"Medium")</f>
        <v>0</v>
      </c>
      <c r="K15" s="4">
        <f>COUNTIF(Week_10!$G$8:$G$15,"High")</f>
        <v>0</v>
      </c>
      <c r="L15" s="4"/>
    </row>
    <row r="16" spans="2:12" ht="19.5" customHeight="1" x14ac:dyDescent="0.3">
      <c r="B16" s="1" t="s">
        <v>239</v>
      </c>
      <c r="C16" s="1">
        <f t="shared" ref="C16:K16" si="1">SUM(C6:C15)</f>
        <v>7</v>
      </c>
      <c r="D16" s="1">
        <f t="shared" si="1"/>
        <v>5</v>
      </c>
      <c r="E16" s="1">
        <f t="shared" si="1"/>
        <v>0</v>
      </c>
      <c r="F16" s="1">
        <f t="shared" si="1"/>
        <v>0</v>
      </c>
      <c r="G16" s="1">
        <f t="shared" si="1"/>
        <v>0</v>
      </c>
      <c r="H16" s="1">
        <f t="shared" si="1"/>
        <v>12</v>
      </c>
      <c r="I16" s="1">
        <f t="shared" si="1"/>
        <v>2</v>
      </c>
      <c r="J16" s="1">
        <f t="shared" si="1"/>
        <v>8</v>
      </c>
      <c r="K16" s="1">
        <f t="shared" si="1"/>
        <v>2</v>
      </c>
      <c r="L16" s="1"/>
    </row>
    <row r="18" spans="2:12" ht="19.5" customHeight="1" x14ac:dyDescent="0.3">
      <c r="B18" s="35" t="s">
        <v>240</v>
      </c>
      <c r="C18" s="21"/>
      <c r="D18" s="21"/>
      <c r="E18" s="21"/>
      <c r="F18" s="21"/>
      <c r="G18" s="21"/>
      <c r="H18" s="21"/>
      <c r="I18" s="21"/>
      <c r="J18" s="21"/>
      <c r="K18" s="21"/>
      <c r="L18" s="14"/>
    </row>
    <row r="19" spans="2:12" ht="21.75" customHeight="1" x14ac:dyDescent="0.3">
      <c r="B19" s="39" t="s">
        <v>241</v>
      </c>
      <c r="C19" s="21"/>
      <c r="D19" s="21"/>
      <c r="E19" s="25"/>
      <c r="F19" s="21"/>
      <c r="G19" s="21"/>
      <c r="H19" s="21"/>
      <c r="I19" s="21"/>
      <c r="J19" s="21"/>
      <c r="K19" s="21"/>
      <c r="L19" s="14"/>
    </row>
    <row r="20" spans="2:12" ht="21.75" customHeight="1" x14ac:dyDescent="0.3">
      <c r="B20" s="39" t="s">
        <v>242</v>
      </c>
      <c r="C20" s="21"/>
      <c r="D20" s="21"/>
      <c r="E20" s="25"/>
      <c r="F20" s="21"/>
      <c r="G20" s="21"/>
      <c r="H20" s="21"/>
      <c r="I20" s="21"/>
      <c r="J20" s="21"/>
      <c r="K20" s="21"/>
      <c r="L20" s="14"/>
    </row>
    <row r="21" spans="2:12" ht="21.75" customHeight="1" x14ac:dyDescent="0.3">
      <c r="B21" s="39" t="s">
        <v>243</v>
      </c>
      <c r="C21" s="21"/>
      <c r="D21" s="21"/>
      <c r="E21" s="25"/>
      <c r="F21" s="21"/>
      <c r="G21" s="21"/>
      <c r="H21" s="21"/>
      <c r="I21" s="21"/>
      <c r="J21" s="21"/>
      <c r="K21" s="21"/>
      <c r="L21" s="14"/>
    </row>
    <row r="22" spans="2:12" ht="32.25" customHeight="1" x14ac:dyDescent="0.3">
      <c r="B22" s="39" t="s">
        <v>244</v>
      </c>
      <c r="C22" s="21"/>
      <c r="D22" s="21"/>
      <c r="E22" s="25"/>
      <c r="F22" s="21"/>
      <c r="G22" s="21"/>
      <c r="H22" s="21"/>
      <c r="I22" s="21"/>
      <c r="J22" s="21"/>
      <c r="K22" s="21"/>
      <c r="L22" s="14"/>
    </row>
  </sheetData>
  <mergeCells count="11">
    <mergeCell ref="B2:L2"/>
    <mergeCell ref="E19:L19"/>
    <mergeCell ref="B21:D21"/>
    <mergeCell ref="E22:L22"/>
    <mergeCell ref="B18:L18"/>
    <mergeCell ref="B20:D20"/>
    <mergeCell ref="B4:L4"/>
    <mergeCell ref="B19:D19"/>
    <mergeCell ref="E20:L20"/>
    <mergeCell ref="E21:L21"/>
    <mergeCell ref="B22:D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cp:revision>0</cp:revision>
  <dcterms:created xsi:type="dcterms:W3CDTF">2026-05-29T14:09:10Z</dcterms:created>
  <dcterms:modified xsi:type="dcterms:W3CDTF">2026-06-24T06:42:02Z</dcterms:modified>
  <dc:language>en-US</dc:language>
</cp:coreProperties>
</file>